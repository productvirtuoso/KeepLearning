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omains" sheetId="2" state="visible" r:id="rId4"/>
    <sheet name="Capabilities" sheetId="3" state="visible" r:id="rId5"/>
    <sheet name="Opportunities" sheetId="4" state="visible" r:id="rId6"/>
  </sheets>
  <definedNames>
    <definedName function="false" hidden="true" localSheetId="2" name="_xlnm._FilterDatabase" vbProcedure="false">Capabilities!$A$4:$O$53</definedName>
    <definedName function="false" hidden="true" localSheetId="3" name="_xlnm._FilterDatabase" vbProcedure="false">Opportunities!$A$4:$K$29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<sst xmlns="http://schemas.openxmlformats.org/spreadsheetml/2006/main" count="940" uniqueCount="742">
  <si>
    <t xml:space="preserve">Financing capability map — capabilities, key KPIs and opportunities</t>
  </si>
  <si>
    <t xml:space="preserve">Prepared by Arpit Shah · October 2026. Public sources read on 7 October 2026. Blue cells are inputs; black cells are formulas.</t>
  </si>
  <si>
    <t xml:space="preserve">What this is</t>
  </si>
  <si>
    <t xml:space="preserve">A map of what a markets financing platform has to do: 49 capabilities in 10 domains, from the products on the desk to the technology estate. Each domain carries the KPI it is judged on. Each capability is rated on how much three technology changes will alter it: AI; distributed ledgers and tokenization; and new liquidity instruments and market structure. The opportunities tab places stability and innovation work by when it could start.</t>
  </si>
  <si>
    <t xml:space="preserve">KPI values are internal to each institution and are left to be baselined. Ratings are first judgments and opportunities are hypotheses, to be corrected by the people who own the books, the queues and the platforms.</t>
  </si>
  <si>
    <t xml:space="preserve">How to read this workbook</t>
  </si>
  <si>
    <t xml:space="preserve">Tab</t>
  </si>
  <si>
    <t xml:space="preserve">What it holds</t>
  </si>
  <si>
    <t xml:space="preserve">2 · Domains</t>
  </si>
  <si>
    <t xml:space="preserve">The 10 domains: what each covers, its exposure to the three technology changes, its key KPI with a public reference point, two further KPIs to watch, and cells for the current value and target.</t>
  </si>
  <si>
    <t xml:space="preserve">3 · Capabilities</t>
  </si>
  <si>
    <t xml:space="preserve">The 49 capabilities: what each is, why it matters, what each technology change alters, a rating of 0 to 3 on each, and the opportunities and KPIs linked to it.</t>
  </si>
  <si>
    <t xml:space="preserve">4 · Opportunities</t>
  </si>
  <si>
    <t xml:space="preserve">25 opportunities by type and horizon, with why now, the KPIs each moves, a first proof point and a status.</t>
  </si>
  <si>
    <t xml:space="preserve">Rating scale (Capabilities tab, columns I–K)</t>
  </si>
  <si>
    <t xml:space="preserve">Rating</t>
  </si>
  <si>
    <t xml:space="preserve">Means</t>
  </si>
  <si>
    <t xml:space="preserve">Capabilities rated so on AI</t>
  </si>
  <si>
    <t xml:space="preserve">on DLT</t>
  </si>
  <si>
    <t xml:space="preserve">on instruments</t>
  </si>
  <si>
    <t xml:space="preserve">None</t>
  </si>
  <si>
    <t xml:space="preserve">Peripheral</t>
  </si>
  <si>
    <t xml:space="preserve">Material within 24 months</t>
  </si>
  <si>
    <t xml:space="preserve">Reshapes the capability</t>
  </si>
  <si>
    <t xml:space="preserve">At a glance</t>
  </si>
  <si>
    <t xml:space="preserve">Domains</t>
  </si>
  <si>
    <t xml:space="preserve">Capabilities</t>
  </si>
  <si>
    <t xml:space="preserve">Capabilities with a total of 7 or more (of 9)</t>
  </si>
  <si>
    <t xml:space="preserve">Average total rating (0–9)</t>
  </si>
  <si>
    <t xml:space="preserve">Key KPIs baselined (current and target set)</t>
  </si>
  <si>
    <t xml:space="preserve">Key KPIs on target</t>
  </si>
  <si>
    <t xml:space="preserve">Opportunities by type and horizon (tab 4)</t>
  </si>
  <si>
    <t xml:space="preserve">Type</t>
  </si>
  <si>
    <t xml:space="preserve">Now</t>
  </si>
  <si>
    <t xml:space="preserve">Next</t>
  </si>
  <si>
    <t xml:space="preserve">Later</t>
  </si>
  <si>
    <t xml:space="preserve">Total</t>
  </si>
  <si>
    <t xml:space="preserve">Confirmed</t>
  </si>
  <si>
    <t xml:space="preserve">In flight</t>
  </si>
  <si>
    <t xml:space="preserve">Stability</t>
  </si>
  <si>
    <t xml:space="preserve">Innovation</t>
  </si>
  <si>
    <t xml:space="preserve">All opportunities</t>
  </si>
  <si>
    <t xml:space="preserve">Horizon: Now = first six months · Next = six to eighteen months · Later = beyond eighteen months.</t>
  </si>
  <si>
    <t xml:space="preserve">Domains — the ten domains, each with the KPI it is judged on</t>
  </si>
  <si>
    <t xml:space="preserve">One row per domain: what it covers, how exposed its capabilities are to the three technology changes (formulas over the Capabilities tab), and its key KPI with a public reference point. KPI values are internal to each institution and are not shown: Current and Target are inputs (blue), and Status then computes.</t>
  </si>
  <si>
    <t xml:space="preserve">#</t>
  </si>
  <si>
    <t xml:space="preserve">Domain</t>
  </si>
  <si>
    <t xml:space="preserve">What it covers</t>
  </si>
  <si>
    <t xml:space="preserve">AI (avg)</t>
  </si>
  <si>
    <t xml:space="preserve">DLT (avg)</t>
  </si>
  <si>
    <t xml:space="preserve">Instruments (avg)</t>
  </si>
  <si>
    <t xml:space="preserve">Total (avg, 0–9)</t>
  </si>
  <si>
    <t xml:space="preserve">Change led by</t>
  </si>
  <si>
    <t xml:space="preserve">Key KPI</t>
  </si>
  <si>
    <t xml:space="preserve">Good is</t>
  </si>
  <si>
    <t xml:space="preserve">Reviewed</t>
  </si>
  <si>
    <t xml:space="preserve">What the KPI measures</t>
  </si>
  <si>
    <t xml:space="preserve">Public reference point</t>
  </si>
  <si>
    <t xml:space="preserve">Also watched</t>
  </si>
  <si>
    <t xml:space="preserve">Current</t>
  </si>
  <si>
    <t xml:space="preserve">Target</t>
  </si>
  <si>
    <t xml:space="preserve">Status</t>
  </si>
  <si>
    <t xml:space="preserve">Financing products &amp; desks</t>
  </si>
  <si>
    <t xml:space="preserve">What the desk trades and lends: repo, securities lending, prime and spread-product financing.</t>
  </si>
  <si>
    <t xml:space="preserve">Financing revenue and growth</t>
  </si>
  <si>
    <t xml:space="preserve">Higher</t>
  </si>
  <si>
    <t xml:space="preserve">Monthly; quarterly externally</t>
  </si>
  <si>
    <t xml:space="preserve">Net revenue from financing across repo, spread-product lending and prime, and its growth on the year.</t>
  </si>
  <si>
    <t xml:space="preserve">At one large dealer, financing was $11.4bn of revenue in 2025, 37% of its markets revenue.</t>
  </si>
  <si>
    <t xml:space="preserve">Net spread on the book (higher)
Client balances (higher)</t>
  </si>
  <si>
    <t xml:space="preserve">Trade lifecycle: execution to settlement</t>
  </si>
  <si>
    <t xml:space="preserve">From execution to settlement: capture, matching, clearing, settlement and lifecycle events.</t>
  </si>
  <si>
    <t xml:space="preserve">Straight-through processing</t>
  </si>
  <si>
    <t xml:space="preserve">Daily</t>
  </si>
  <si>
    <t xml:space="preserve">Trades booked, confirmed and instructed without manual touch.</t>
  </si>
  <si>
    <t xml:space="preserve">94.8% of US trades were affirmed by 9pm on trade date in April 2026 (DTCC).</t>
  </si>
  <si>
    <t xml:space="preserve">Settlement fails and their cost (lower)
Cleared share and netting efficiency (higher)</t>
  </si>
  <si>
    <t xml:space="preserve">Inventory &amp; position management</t>
  </si>
  <si>
    <t xml:space="preserve">Knowing what the firm holds, where it is, and what is free to use.</t>
  </si>
  <si>
    <t xml:space="preserve">Inventory put to work</t>
  </si>
  <si>
    <t xml:space="preserve">How much of the firm's inventory is financed, lent or matched internally.</t>
  </si>
  <si>
    <t xml:space="preserve">Survey: about a quarter of collateral earns no return (Nasdaq and ValueExchange, February 2026).</t>
  </si>
  <si>
    <t xml:space="preserve">Inventory data freshness (lower)
Breaks and reconciliation (lower)</t>
  </si>
  <si>
    <t xml:space="preserve">Collateral management &amp; optimization</t>
  </si>
  <si>
    <t xml:space="preserve">Deciding what to deliver where, at the lowest cost, within the agreements.</t>
  </si>
  <si>
    <t xml:space="preserve">Collateral efficiency</t>
  </si>
  <si>
    <t xml:space="preserve">Lower</t>
  </si>
  <si>
    <t xml:space="preserve">Cost of the collateral actually delivered against the cheapest eligible.</t>
  </si>
  <si>
    <t xml:space="preserve">Consultant estimates of the saving run from tens to hundreds of millions of dollars a year for large firms; to be tested on the desk's own book.</t>
  </si>
  <si>
    <t xml:space="preserve">Margin calls and disputes (lower)
Optimizer cadence (higher)</t>
  </si>
  <si>
    <t xml:space="preserve">Liquidity, funding &amp; balance sheet</t>
  </si>
  <si>
    <t xml:space="preserve">The constraints that decide how much financing can be written.</t>
  </si>
  <si>
    <t xml:space="preserve">Revenue per unit of balance sheet and of risk-weighted assets</t>
  </si>
  <si>
    <t xml:space="preserve">Monthly</t>
  </si>
  <si>
    <t xml:space="preserve">How much revenue each dollar of leverage exposure and of RWA produces.</t>
  </si>
  <si>
    <t xml:space="preserve">Supplementary leverage ratios at the four largest US dealers ranged from 4.3% to 5.5% at 30 June 2026.</t>
  </si>
  <si>
    <t xml:space="preserve">Intraday liquidity usage (lower)
Funding cost and term profile (lower)</t>
  </si>
  <si>
    <t xml:space="preserve">Risk &amp; control</t>
  </si>
  <si>
    <t xml:space="preserve">Counterparty, market and regulatory controls on the financing book.</t>
  </si>
  <si>
    <t xml:space="preserve">Control health</t>
  </si>
  <si>
    <t xml:space="preserve">Open audit and regulatory issues, and the accuracy of regulatory reporting.</t>
  </si>
  <si>
    <t xml:space="preserve">Only 2 of 31 global banks fully met the Basel risk-data principles in the last progress report.</t>
  </si>
  <si>
    <t xml:space="preserve">Counterparty exposure and concentration (in range)
Regulatory reporting quality (higher)</t>
  </si>
  <si>
    <t xml:space="preserve">Technology estate</t>
  </si>
  <si>
    <t xml:space="preserve">The platforms themselves: booking, settlement, inventory, optimization, data and resilience.</t>
  </si>
  <si>
    <t xml:space="preserve">Availability of critical services</t>
  </si>
  <si>
    <t xml:space="preserve">Daily; monthly</t>
  </si>
  <si>
    <t xml:space="preserve">Uptime of booking, settlement, inventory and optimization during trading and settlement hours.</t>
  </si>
  <si>
    <t xml:space="preserve">Market-infrastructure norms: T2S 99.8% in 2025; the Fedwire standard is 99.9%.</t>
  </si>
  <si>
    <t xml:space="preserve">Recovery of the position engine (lower)
Reference and agreement data readiness (higher)</t>
  </si>
  <si>
    <t xml:space="preserve">Engineering leadership &amp; AI engineering</t>
  </si>
  <si>
    <t xml:space="preserve">How the platforms are built, changed and modernized, and how AI is applied.</t>
  </si>
  <si>
    <t xml:space="preserve">Deployment frequency and lead time</t>
  </si>
  <si>
    <t xml:space="preserve">How often each service ships and how long a change takes.</t>
  </si>
  <si>
    <t xml:space="preserve">DORA 2025: 16% of teams deploy on demand; 44% take more than a week from commit to production.</t>
  </si>
  <si>
    <t xml:space="preserve">AI-assisted engineering: adoption and effect (higher)
Legacy retired and volume on target platforms (higher)</t>
  </si>
  <si>
    <t xml:space="preserve">Market structure, competitors &amp; change</t>
  </si>
  <si>
    <t xml:space="preserve">The infrastructure, competitors, rules and market conditions around the business.</t>
  </si>
  <si>
    <t xml:space="preserve">Readiness for dated market change</t>
  </si>
  <si>
    <t xml:space="preserve">Progress against the clearing mandate, T+1 and longer market hours.</t>
  </si>
  <si>
    <t xml:space="preserve">US Treasury clearing: cash by 31 December 2026, repo by 30 June 2027. UK and EU T+1: 11 October 2027.</t>
  </si>
  <si>
    <t xml:space="preserve">Share of wallet and rank with priority clients (higher)
Technology position against peers (higher)</t>
  </si>
  <si>
    <t xml:space="preserve">Digital assets, tokenization &amp; new instruments</t>
  </si>
  <si>
    <t xml:space="preserve">Tokenized collateral and cash, intraday liquidity, and how they are treated.</t>
  </si>
  <si>
    <t xml:space="preserve">Connectivity to new venues</t>
  </si>
  <si>
    <t xml:space="preserve">Quarterly</t>
  </si>
  <si>
    <t xml:space="preserve">Clearing houses, tokenized venues and tokenized-cash rails connected in production.</t>
  </si>
  <si>
    <t xml:space="preserve">About $350bn a day of tokenized repo runs on one platform; three Treasury clearing houses operate from December 2026.</t>
  </si>
  <si>
    <t xml:space="preserve">Always-on readiness (higher)
Intraday liquidity usage (lower)</t>
  </si>
  <si>
    <t xml:space="preserve">All domains</t>
  </si>
  <si>
    <t xml:space="preserve">How status works: fill Current and Target (blue cells) in the same unit. 'Higher' KPIs are on target at or above the target and on watch within 10% of it; 'Lower' KPIs are the reverse. For 'In range' KPIs enter the usage in Current and its ceiling in Target. Public reference points are context, not targets.</t>
  </si>
  <si>
    <t xml:space="preserve">Capabilities — what a financing platform has to do</t>
  </si>
  <si>
    <t xml:space="preserve">49 capabilities in 10 domains, from the products on the desk to the technology estate. Columns F–H say what each of three technology changes alters; columns I–K are ratings (blue, inputs): 0 none · 1 peripheral · 2 material within 24 months · 3 reshapes the capability. Total and lead are formulas. Ratings are first judgments, to be corrected by the people who own the platforms.</t>
  </si>
  <si>
    <t xml:space="preserve">ID</t>
  </si>
  <si>
    <t xml:space="preserve">Capability</t>
  </si>
  <si>
    <t xml:space="preserve">What it is</t>
  </si>
  <si>
    <t xml:space="preserve">Why it matters</t>
  </si>
  <si>
    <t xml:space="preserve">AI — what changes</t>
  </si>
  <si>
    <t xml:space="preserve">Ledgers and tokenization — what changes</t>
  </si>
  <si>
    <t xml:space="preserve">Instruments and market structure — what changes</t>
  </si>
  <si>
    <t xml:space="preserve">AI (0–3)</t>
  </si>
  <si>
    <t xml:space="preserve">DLT (0–3)</t>
  </si>
  <si>
    <t xml:space="preserve">Instruments (0–3)</t>
  </si>
  <si>
    <t xml:space="preserve">Total (0–9)</t>
  </si>
  <si>
    <t xml:space="preserve">Opportunities</t>
  </si>
  <si>
    <t xml:space="preserve">KPIs that depend on it</t>
  </si>
  <si>
    <t xml:space="preserve">1.1</t>
  </si>
  <si>
    <t xml:space="preserve">Repo and reverse repo</t>
  </si>
  <si>
    <t xml:space="preserve">Financing securities against cash: bilateral and tri-party, cleared and sponsored, GC and specials, open and term, evergreen — and now intraday.</t>
  </si>
  <si>
    <t xml:space="preserve">The core financing product; every booking, settlement and inventory decision starts here.</t>
  </si>
  <si>
    <t xml:space="preserve">Pricing support for specials; balance-sheet-aware quoting; a read-only desk assistant.</t>
  </si>
  <si>
    <t xml:space="preserve">Tokenized repo venues add settlement paths and intraday tenors.</t>
  </si>
  <si>
    <t xml:space="preserve">Clearing mandate, sponsored repo and intraday repo change the product itself.</t>
  </si>
  <si>
    <t xml:space="preserve">N7 Intraday repo as a bookable product</t>
  </si>
  <si>
    <t xml:space="preserve">Financing revenue and growth
Daily P&amp;L and its attribution
Net spread on the book
Specials and client flow capture</t>
  </si>
  <si>
    <t xml:space="preserve">1.2</t>
  </si>
  <si>
    <t xml:space="preserve">Securities lending and borrowing</t>
  </si>
  <si>
    <t xml:space="preserve">Lending securities against cash or non-cash collateral; borrowing to cover shorts and fails; agency and principal models.</t>
  </si>
  <si>
    <t xml:space="preserve">The second financing product on the platforms; inventory and availability logic depends on it.</t>
  </si>
  <si>
    <t xml:space="preserve">Availability, locate and short-interest prediction; fee pricing models.</t>
  </si>
  <si>
    <t xml:space="preserve">Tokenized equities and on-ledger pledge are early; the depository's service covers large-cap stocks.</t>
  </si>
  <si>
    <t xml:space="preserve">Record lending revenue; loan reporting moved to 2028; 23x5 trading stretches the locate window.</t>
  </si>
  <si>
    <t xml:space="preserve">N12 Internalize earlier in the day</t>
  </si>
  <si>
    <t xml:space="preserve">Specials and client flow capture</t>
  </si>
  <si>
    <t xml:space="preserve">1.3</t>
  </si>
  <si>
    <t xml:space="preserve">Collateral trading, upgrades and transformation</t>
  </si>
  <si>
    <t xml:space="preserve">Trading collateral quality: upgrade/downgrade trades, collateral swaps, transformation for margin and HQLA needs.</t>
  </si>
  <si>
    <t xml:space="preserve">Where collateral optimization becomes a revenue business rather than a cost function.</t>
  </si>
  <si>
    <t xml:space="preserve">What-if and upgrade pricing against the optimizer's cost view.</t>
  </si>
  <si>
    <t xml:space="preserve">Collateral swaps settle in minutes on collateral ledgers.</t>
  </si>
  <si>
    <t xml:space="preserve">Tokenized funds and digital bonds widen the upgrade universe.</t>
  </si>
  <si>
    <t xml:space="preserve">—</t>
  </si>
  <si>
    <t xml:space="preserve">1.4</t>
  </si>
  <si>
    <t xml:space="preserve">Funding, treasury interface and balance-sheet allocation</t>
  </si>
  <si>
    <t xml:space="preserve">How the financing desks fund themselves and are charged: FTP, balance-sheet budgets, matched book vs funding book, quarter-end management.</t>
  </si>
  <si>
    <t xml:space="preserve">Explains most of what the desk does that looks irrational from outside; the platforms must expose these costs in real time.</t>
  </si>
  <si>
    <t xml:space="preserve">Forecasting balance-sheet usage; allocation recommendations.</t>
  </si>
  <si>
    <t xml:space="preserve">Tokenized cash lets funding move outside payment cut-offs.</t>
  </si>
  <si>
    <t xml:space="preserve">Funding priced by time of day; leverage and capital rule changes shift capacity.</t>
  </si>
  <si>
    <t xml:space="preserve">N6 Balance sheet and liquidity shown before the trade</t>
  </si>
  <si>
    <t xml:space="preserve">Revenue per unit of balance sheet and of risk-weighted assets
Balance-sheet and leverage usage against allocation
Balance sheet used against budget, intraday
Funding cost and term profile</t>
  </si>
  <si>
    <t xml:space="preserve">1.5</t>
  </si>
  <si>
    <t xml:space="preserve">Prime finance and synthetic financing</t>
  </si>
  <si>
    <t xml:space="preserve">Financing hedge-fund clients: margin lending, securities borrowing, synthetic financing through total return swaps, cross-product margining. The equities-side counterpart of the repo book.</t>
  </si>
  <si>
    <t xml:space="preserve">Usually the largest financing balances in a bank sit here. It shares collateral, inventory and balance sheet with fixed-income financing.</t>
  </si>
  <si>
    <t xml:space="preserve">Margin and risk models; client reporting assistants.</t>
  </si>
  <si>
    <t xml:space="preserve">Client collateral on ledger; requests to post crypto-linked assets.</t>
  </si>
  <si>
    <t xml:space="preserve">Record balances; synthetic versus cash mix; cross-product margining; leverage policy.</t>
  </si>
  <si>
    <t xml:space="preserve">N11 One margin and inventory view across prime and fixed-income financing</t>
  </si>
  <si>
    <t xml:space="preserve">Financing revenue and growth
Client balances
Share of wallet and rank with priority clients</t>
  </si>
  <si>
    <t xml:space="preserve">1.6</t>
  </si>
  <si>
    <t xml:space="preserve">Spread-product financing and securitization-based lending</t>
  </si>
  <si>
    <t xml:space="preserve">Lending against credit assets: warehouse facilities, asset-backed and loan financing, private-credit financing, repo and total-return structures on credit collateral.</t>
  </si>
  <si>
    <t xml:space="preserve">A growth focus across large dealers. These are loans on the markets balance sheet with their own collateral, margin and capital logic.</t>
  </si>
  <si>
    <t xml:space="preserve">Document extraction for facilities and borrowing-base tests.</t>
  </si>
  <si>
    <t xml:space="preserve">Tokenized loans and funds are at an early stage.</t>
  </si>
  <si>
    <t xml:space="preserve">Growth in private-credit financing; securitization capital rules.</t>
  </si>
  <si>
    <t xml:space="preserve">Financing revenue and growth
Client balances
Net spread on the book</t>
  </si>
  <si>
    <t xml:space="preserve">2.1</t>
  </si>
  <si>
    <t xml:space="preserve">Execution and trade capture</t>
  </si>
  <si>
    <t xml:space="preserve">Voice and electronic execution (Tradeweb, BrokerTec, MTS, GLMX), booking models, back-to-back and internal trades, novation to CCP.</t>
  </si>
  <si>
    <t xml:space="preserve">The front door of the booking platform; booking-model complexity is where legacy accumulates.</t>
  </si>
  <si>
    <t xml:space="preserve">Trade capture from chat and voice; anomaly detection on amendments.</t>
  </si>
  <si>
    <t xml:space="preserve">Execution on a ledger creates the booking as a by-product.</t>
  </si>
  <si>
    <t xml:space="preserve">New venues and tenors add booking models: intraday trades, a choice of clearing house.</t>
  </si>
  <si>
    <t xml:space="preserve">Specials and client flow capture
Straight-through processing</t>
  </si>
  <si>
    <t xml:space="preserve">2.2</t>
  </si>
  <si>
    <t xml:space="preserve">Confirmation, matching and reporting</t>
  </si>
  <si>
    <t xml:space="preserve">Confirming economics with the counterparty, matching for settlement and for SFTR, generating regulatory reports.</t>
  </si>
  <si>
    <t xml:space="preserve">Matching rates and reporting breaks are a visible cost and a regulatory exposure.</t>
  </si>
  <si>
    <t xml:space="preserve">Break classification and repair suggestions for reporting fields.</t>
  </si>
  <si>
    <t xml:space="preserve">A shared record removes confirmation and matching inside the ledger.</t>
  </si>
  <si>
    <t xml:space="preserve">Reporting timetables move; tokenized trades are still reportable.</t>
  </si>
  <si>
    <t xml:space="preserve">Straight-through processing
Regulatory reporting quality</t>
  </si>
  <si>
    <t xml:space="preserve">2.3</t>
  </si>
  <si>
    <t xml:space="preserve">Clearing and CCP interaction</t>
  </si>
  <si>
    <t xml:space="preserve">Central clearing of repo (FICC GSD, sponsored and agent clearing; LCH RepoClear; Eurex), CCP margin and netting; the US Treasury clearing mandate.</t>
  </si>
  <si>
    <t xml:space="preserve">The largest structural change in the book of work: cash by 31 December 2026 and repo by 30 June 2027, with CME and ICE joining FICC as Treasury clearing houses.</t>
  </si>
  <si>
    <t xml:space="preserve">Margin forecasting; choosing the clearing house per trade.</t>
  </si>
  <si>
    <t xml:space="preserve">Clearing houses begin to accept collateral mobilized on ledgers.</t>
  </si>
  <si>
    <t xml:space="preserve">Mandate dates; three Treasury clearing houses; done-away access; cross-margining.</t>
  </si>
  <si>
    <t xml:space="preserve">S8 Design the clearing mandate into the platform</t>
  </si>
  <si>
    <t xml:space="preserve">Readiness for dated market change
Cleared share and netting efficiency
Connectivity to new venues</t>
  </si>
  <si>
    <t xml:space="preserve">2.4</t>
  </si>
  <si>
    <t xml:space="preserve">Settlement and fails</t>
  </si>
  <si>
    <t xml:space="preserve">DVP settlement through Fedwire Securities, DTC, Euroclear, Clearstream and tri-party agents; fails, partials, TMPG fails charges, CSDR penalties.</t>
  </si>
  <si>
    <t xml:space="preserve">Where a platform's data quality becomes money: fails charges and penalties are the scoreboard.</t>
  </si>
  <si>
    <t xml:space="preserve">Fail prediction, root-cause agents, repair with human release.</t>
  </si>
  <si>
    <t xml:space="preserve">Atomic settlement removes fails inside a ledger; boundary fails remain.</t>
  </si>
  <si>
    <t xml:space="preserve">T+1 in the UK and EU; 24x5 clearing; penalties.</t>
  </si>
  <si>
    <t xml:space="preserve">S4 Consolidate settlement adapters
S5 Close the loop on fails
S12 Ready for T+1 in the UK and Europe, and for longer hours
N3 Predict fails and short covers
N4 Operations agents with human release</t>
  </si>
  <si>
    <t xml:space="preserve">Cost of failure
Settlement fails and their cost
Fails caused by data or technology</t>
  </si>
  <si>
    <t xml:space="preserve">2.5</t>
  </si>
  <si>
    <t xml:space="preserve">Lifecycle events</t>
  </si>
  <si>
    <t xml:space="preserve">Rate resets, re-pricing and mark-to-market, substitutions, partial returns, rolls, terminations, corporate actions on collateral.</t>
  </si>
  <si>
    <t xml:space="preserve">The event volume that drives platform load and the source of most edge-case defects.</t>
  </si>
  <si>
    <t xml:space="preserve">Exception triage on substitutions and re-pricing.</t>
  </si>
  <si>
    <t xml:space="preserve">Contracts on ledger automate margin, substitution and coupon events.</t>
  </si>
  <si>
    <t xml:space="preserve">Intraday trades multiply event volume.</t>
  </si>
  <si>
    <t xml:space="preserve">3.1</t>
  </si>
  <si>
    <t xml:space="preserve">Positions and inventory</t>
  </si>
  <si>
    <t xml:space="preserve">Real-time firm inventory: longs, shorts, box, encumbrance, rehypothecation limits, legal-entity views.</t>
  </si>
  <si>
    <t xml:space="preserve">The heart of the estate, and usually its most cache-heavy platform.</t>
  </si>
  <si>
    <t xml:space="preserve">Anomaly detection on feeds; inventory questions in plain language.</t>
  </si>
  <si>
    <t xml:space="preserve">Ledgers become position sources and locations; a tokenized-entitlement state.</t>
  </si>
  <si>
    <t xml:space="preserve">Always-on hours need intraday truth, not snapshots.</t>
  </si>
  <si>
    <t xml:space="preserve">S1 Position-engine recovery and peak headroom
N1 Intraday collateral optimization
N8 Connect to one tokenized repo and collateral venue
N11 One margin and inventory view across prime and fixed-income financing</t>
  </si>
  <si>
    <t xml:space="preserve">Inventory put to work
Inventory data freshness</t>
  </si>
  <si>
    <t xml:space="preserve">3.2</t>
  </si>
  <si>
    <t xml:space="preserve">Availability, allocation and internalization</t>
  </si>
  <si>
    <t xml:space="preserve">Deciding what can be lent, pledged or delivered; matching internal longs and shorts before going to market.</t>
  </si>
  <si>
    <t xml:space="preserve">Internalization is a direct P&amp;L lever that depends on the quality and timing of inventory data.</t>
  </si>
  <si>
    <t xml:space="preserve">Predicting recalls and availability; internalization recommendations.</t>
  </si>
  <si>
    <t xml:space="preserve">Faster mobility raises the value of internalizing early.</t>
  </si>
  <si>
    <t xml:space="preserve">Longer trading hours move the locate window.</t>
  </si>
  <si>
    <t xml:space="preserve">3.3</t>
  </si>
  <si>
    <t xml:space="preserve">Fails and short-cover management</t>
  </si>
  <si>
    <t xml:space="preserve">Predicting and covering shorts and settlement fails; borrowing to cover; prioritizing deliveries.</t>
  </si>
  <si>
    <t xml:space="preserve">A decision problem sitting on inventory data — a candidate for the first decision model on the platform.</t>
  </si>
  <si>
    <t xml:space="preserve">The first decision model on inventory data: fail and short-cover prediction.</t>
  </si>
  <si>
    <t xml:space="preserve">Atomic settlement shrinks the problem where it is adopted.</t>
  </si>
  <si>
    <t xml:space="preserve">T+1 compresses the time to cover.</t>
  </si>
  <si>
    <t xml:space="preserve">S5 Close the loop on fails
N3 Predict fails and short covers</t>
  </si>
  <si>
    <t xml:space="preserve">Cost of failure
Settlement fails and their cost</t>
  </si>
  <si>
    <t xml:space="preserve">3.4</t>
  </si>
  <si>
    <t xml:space="preserve">Books and records reconciliation</t>
  </si>
  <si>
    <t xml:space="preserve">Front-to-back, custodian, depot and tri-party reconciliations; break resolution.</t>
  </si>
  <si>
    <t xml:space="preserve">Where the estate's integration debt shows up as daily manual work.</t>
  </si>
  <si>
    <t xml:space="preserve">Break classification and resolution agents.</t>
  </si>
  <si>
    <t xml:space="preserve">Shared ledgers remove some reconciliations and add ledger-to-books ones.</t>
  </si>
  <si>
    <t xml:space="preserve">More venues and clearing houses mean more reconciliation points.</t>
  </si>
  <si>
    <t xml:space="preserve">S6 Fix repeat breaks at the source
N4 Operations agents with human release</t>
  </si>
  <si>
    <t xml:space="preserve">Breaks and reconciliation</t>
  </si>
  <si>
    <t xml:space="preserve">4.1</t>
  </si>
  <si>
    <t xml:space="preserve">Eligibility, haircuts and schedules</t>
  </si>
  <si>
    <t xml:space="preserve">What collateral is acceptable to whom, at what haircut, with what concentration limits — CCP, tri-party, bilateral and client schedules.</t>
  </si>
  <si>
    <t xml:space="preserve">The rules engine every optimization and allocation decision reads; usually the weakest data in the estate.</t>
  </si>
  <si>
    <t xml:space="preserve">Language-model extraction of schedules into CDM.</t>
  </si>
  <si>
    <t xml:space="preserve">Eligibility enforceable by contract at the point of pledge.</t>
  </si>
  <si>
    <t xml:space="preserve">New rows in every schedule: tokenized funds, digital bonds, digital cash.</t>
  </si>
  <si>
    <t xml:space="preserve">S9 Named owners for reference and agreement data
N2 Eligibility and agreements as data
N10 Tokenized funds and digital bonds in eligibility</t>
  </si>
  <si>
    <t xml:space="preserve">Collateral efficiency
Counterparty exposure and concentration
Reference and agreement data readiness</t>
  </si>
  <si>
    <t xml:space="preserve">4.2</t>
  </si>
  <si>
    <t xml:space="preserve">Collateral optimization</t>
  </si>
  <si>
    <t xml:space="preserve">Choosing what to deliver where: cheapest-to-deliver, allocation algorithms, substitutions, cost-of-funding and regulatory-aware optimization.</t>
  </si>
  <si>
    <t xml:space="preserve">The decision that turns inventory and eligibility into funding cost; the most direct link between the platform and the desk's P&amp;L.</t>
  </si>
  <si>
    <t xml:space="preserve">The decision engine itself; intraday runs; learned cost inputs.</t>
  </si>
  <si>
    <t xml:space="preserve">Minute-level mobility makes continuous optimization worth running.</t>
  </si>
  <si>
    <t xml:space="preserve">New instruments and clearing houses enlarge the solution space.</t>
  </si>
  <si>
    <t xml:space="preserve">N1 Intraday collateral optimization</t>
  </si>
  <si>
    <t xml:space="preserve">Collateral efficiency
Optimizer cadence</t>
  </si>
  <si>
    <t xml:space="preserve">4.3</t>
  </si>
  <si>
    <t xml:space="preserve">Margin management</t>
  </si>
  <si>
    <t xml:space="preserve">Variation and initial margin for OTC (UMR, SIMM), CCP margin, margin calls, disputes, segregation.</t>
  </si>
  <si>
    <t xml:space="preserve">Margin flows drive collateral demand; the platform must see them to optimize.</t>
  </si>
  <si>
    <t xml:space="preserve">Call forecasting; dispute prediction and resolution.</t>
  </si>
  <si>
    <t xml:space="preserve">Tokenized collateral posted in minutes; contract-driven calls.</t>
  </si>
  <si>
    <t xml:space="preserve">Non-cash variation margin; stablecoins at futures merchants; cross-margining.</t>
  </si>
  <si>
    <t xml:space="preserve">N10 Tokenized funds and digital bonds in eligibility
N11 One margin and inventory view across prime and fixed-income financing</t>
  </si>
  <si>
    <t xml:space="preserve">Margin calls and disputes</t>
  </si>
  <si>
    <t xml:space="preserve">4.4</t>
  </si>
  <si>
    <t xml:space="preserve">Collateral mobility and re-use</t>
  </si>
  <si>
    <t xml:space="preserve">Moving collateral across tri-party agents, CCPs, ICSDs and legal entities; re-use and rehypothecation within limits. Movement on ledgers is deconstructed in 10.1.</t>
  </si>
  <si>
    <t xml:space="preserve">Mobility is where new infrastructure is arriving (10.1 to 10.4); the estate must connect to it.</t>
  </si>
  <si>
    <t xml:space="preserve">Recommending moves across agents and pools.</t>
  </si>
  <si>
    <t xml:space="preserve">The core tokenization use: movement without CSD settlement, at any hour.</t>
  </si>
  <si>
    <t xml:space="preserve">Intraday repo and intraday tri-party products.</t>
  </si>
  <si>
    <t xml:space="preserve">5.1</t>
  </si>
  <si>
    <t xml:space="preserve">Regulatory liquidity (LCR, NSFR, HQLA)</t>
  </si>
  <si>
    <t xml:space="preserve">How SFTs flow through the liquidity ratios: inflows and outflows by counterparty and collateral, HQLA eligibility, encumbrance.</t>
  </si>
  <si>
    <t xml:space="preserve">Decides which trades the desk can do; the platforms must compute it intraday, not learn it from Finance monthly.</t>
  </si>
  <si>
    <t xml:space="preserve">Intraday ratio estimation; explanation of scenarios.</t>
  </si>
  <si>
    <t xml:space="preserve">Treatment of tokenized cash and funds in the ratios is not settled.</t>
  </si>
  <si>
    <t xml:space="preserve">Intraday instruments are invisible to month-end metrics.</t>
  </si>
  <si>
    <t xml:space="preserve">Liquidity and funding position</t>
  </si>
  <si>
    <t xml:space="preserve">5.2</t>
  </si>
  <si>
    <t xml:space="preserve">Balance sheet, capital and netting</t>
  </si>
  <si>
    <t xml:space="preserve">Leverage exposure, RWA under SA-CCR for SFTs, G-SIB indicators, netting benefits (FICC, GMRA close-out), quarter-end compression.</t>
  </si>
  <si>
    <t xml:space="preserve">The second constraint on the desk and the reason cleared and netted booking matters to technology.</t>
  </si>
  <si>
    <t xml:space="preserve">Netting-set data-quality checks; allocation analytics.</t>
  </si>
  <si>
    <t xml:space="preserve">Same asset, same capital treatment in the US; infrastructure-risk questions remain.</t>
  </si>
  <si>
    <t xml:space="preserve">Leverage, endgame and surcharge changes; netting across several clearing houses.</t>
  </si>
  <si>
    <t xml:space="preserve">S8 Design the clearing mandate into the platform
N6 Balance sheet and liquidity shown before the trade</t>
  </si>
  <si>
    <t xml:space="preserve">Return on tangible common equity
Revenue per unit of balance sheet and of risk-weighted assets
Balance-sheet and leverage usage against allocation
Balance sheet used against budget, intraday
Return on balance sheet by client and trade
Cleared share and netting efficiency</t>
  </si>
  <si>
    <t xml:space="preserve">5.3</t>
  </si>
  <si>
    <t xml:space="preserve">Funding cost, FTP and P&amp;L attribution</t>
  </si>
  <si>
    <t xml:space="preserve">How the desk's P&amp;L is attributed between matched book, funding and specials; FTP curves; cost of balance sheet.</t>
  </si>
  <si>
    <t xml:space="preserve">Aligns the modernization case with what the business is measured on.</t>
  </si>
  <si>
    <t xml:space="preserve">Tagging trade intent; explaining attribution.</t>
  </si>
  <si>
    <t xml:space="preserve">Interest by the minute on ledger needs transfer pricing by the minute.</t>
  </si>
  <si>
    <t xml:space="preserve">Intraday pricing of funding.</t>
  </si>
  <si>
    <t xml:space="preserve">Financing revenue and growth
Return on tangible common equity
Liquidity and funding position
Daily P&amp;L and its attribution
Net spread on the book
Funding cost and term profile</t>
  </si>
  <si>
    <t xml:space="preserve">5.4</t>
  </si>
  <si>
    <t xml:space="preserve">Liquidity risk management and stress</t>
  </si>
  <si>
    <t xml:space="preserve">Intraday and stress liquidity for financing: cash-flow projections, ILAAP, resolution planning, intraday settlement liquidity.</t>
  </si>
  <si>
    <t xml:space="preserve">Sets the resilience requirements on the platforms (what must run under stress).</t>
  </si>
  <si>
    <t xml:space="preserve">Intraday cash-flow forecasting.</t>
  </si>
  <si>
    <t xml:space="preserve">Tokenized cash and repo aim directly at the intraday buffer.</t>
  </si>
  <si>
    <t xml:space="preserve">Intraday repo; longer RTGS hours; changes to standing facilities.</t>
  </si>
  <si>
    <t xml:space="preserve">N9 Tokenized cash as the cash leg</t>
  </si>
  <si>
    <t xml:space="preserve">Liquidity and funding position
Intraday liquidity usage</t>
  </si>
  <si>
    <t xml:space="preserve">6.1</t>
  </si>
  <si>
    <t xml:space="preserve">Counterparty credit risk for SFTs</t>
  </si>
  <si>
    <t xml:space="preserve">Exposure measurement, haircuts, wrong-way risk, margin period of risk, netting agreements and limits.</t>
  </si>
  <si>
    <t xml:space="preserve">Limits are enforced (or not) at booking; the platforms carry the exposure data.</t>
  </si>
  <si>
    <t xml:space="preserve">Early-warning signals; explanation of exposure moves.</t>
  </si>
  <si>
    <t xml:space="preserve">Real-time collateral narrows exposure windows; contract risk appears.</t>
  </si>
  <si>
    <t xml:space="preserve">Zero-haircut bilateral repo under policy scrutiny; crypto-linked collateral.</t>
  </si>
  <si>
    <t xml:space="preserve">Counterparty exposure and concentration</t>
  </si>
  <si>
    <t xml:space="preserve">6.2</t>
  </si>
  <si>
    <t xml:space="preserve">Market risk of financing books</t>
  </si>
  <si>
    <t xml:space="preserve">Rate and basis risk in repo books, specials risk, FRTB treatment, P&amp;L explain.</t>
  </si>
  <si>
    <t xml:space="preserve">Sets the risk feeds the platforms must produce and the intraday risk the desk expects.</t>
  </si>
  <si>
    <t xml:space="preserve">Narratives for P&amp;L explain.</t>
  </si>
  <si>
    <t xml:space="preserve">Little direct effect.</t>
  </si>
  <si>
    <t xml:space="preserve">Intraday rate dispersion; reference-rate questions for intraday trades.</t>
  </si>
  <si>
    <t xml:space="preserve">Market risk against limits</t>
  </si>
  <si>
    <t xml:space="preserve">6.3</t>
  </si>
  <si>
    <t xml:space="preserve">Regulatory and operational controls</t>
  </si>
  <si>
    <t xml:space="preserve">SFTR and 10c-1a reporting, 15c3-3 possession and control, Reg SHO, CSDR, books-and-records, surveillance, SOX controls on the platforms.</t>
  </si>
  <si>
    <t xml:space="preserve">The control tier the platforms operate in; where technology risk becomes regulatory risk.</t>
  </si>
  <si>
    <t xml:space="preserve">Control testing and evidence generation; surveillance.</t>
  </si>
  <si>
    <t xml:space="preserve">Books-and-records and client-asset rules applied to tokenized forms; key controls.</t>
  </si>
  <si>
    <t xml:space="preserve">New reporting dates; a product approval for each new instrument.</t>
  </si>
  <si>
    <t xml:space="preserve">S7 Control evidence from the pipeline</t>
  </si>
  <si>
    <t xml:space="preserve">Control health
Regulatory reporting quality
Automated tests and control evidence
Open audit and security findings</t>
  </si>
  <si>
    <t xml:space="preserve">6.4</t>
  </si>
  <si>
    <t xml:space="preserve">Legal agreements and documentation</t>
  </si>
  <si>
    <t xml:space="preserve">GMRA, GMSLA, MSFTA, MRA, ISDA/CSA, tri-party and clearing agreements; close-out netting; how terms reach the systems.</t>
  </si>
  <si>
    <t xml:space="preserve">Agreement terms (haircuts, eligibility, events) are data the platforms need and usually do not have structured.</t>
  </si>
  <si>
    <t xml:space="preserve">Clause extraction into CDM.</t>
  </si>
  <si>
    <t xml:space="preserve">Digital annexes to adopt and to capture as data.</t>
  </si>
  <si>
    <t xml:space="preserve">Annex adoption by counterparty; clearing and cross-margining agreements.</t>
  </si>
  <si>
    <t xml:space="preserve">S9 Named owners for reference and agreement data
N2 Eligibility and agreements as data</t>
  </si>
  <si>
    <t xml:space="preserve">Reference and agreement data readiness</t>
  </si>
  <si>
    <t xml:space="preserve">7.1</t>
  </si>
  <si>
    <t xml:space="preserve">Booking and trade-capture platforms</t>
  </si>
  <si>
    <t xml:space="preserve">The systems that capture, enrich, amend and route financing trades — in-house and vendor — and their booking models.</t>
  </si>
  <si>
    <t xml:space="preserve">The first platform in the chain, and where modernization usually has to start.</t>
  </si>
  <si>
    <t xml:space="preserve">Legacy code analysis; test generation; code-to-specification before any cut.</t>
  </si>
  <si>
    <t xml:space="preserve">A ledger venue is another booking path; trades carry on-ledger identifiers.</t>
  </si>
  <si>
    <t xml:space="preserve">An intraday tenor with start and end time; a clearing house per trade.</t>
  </si>
  <si>
    <t xml:space="preserve">S3 Remove end-of-day dependencies
S8 Design the clearing mandate into the platform
N5 AI-assisted engineering on the legacy estate
N7 Intraday repo as a bookable product</t>
  </si>
  <si>
    <t xml:space="preserve">Straight-through processing
Legacy retired and volume on target platforms</t>
  </si>
  <si>
    <t xml:space="preserve">7.2</t>
  </si>
  <si>
    <t xml:space="preserve">Settlement and messaging</t>
  </si>
  <si>
    <t xml:space="preserve">Settlement instruction generation, Swift and ISO 20022 messaging, tri-party and custodian connectivity, Fedwire and ICSD links.</t>
  </si>
  <si>
    <t xml:space="preserve">Where data quality becomes fails; the integration layer with the most external dependencies.</t>
  </si>
  <si>
    <t xml:space="preserve">Message repair; adapter code generation and testing.</t>
  </si>
  <si>
    <t xml:space="preserve">Ledger connectors beside the Swift adapters; ISO 20022 mapped to on-ledger events.</t>
  </si>
  <si>
    <t xml:space="preserve">T+1, 24x5 and longer RTGS hours on the instruction path.</t>
  </si>
  <si>
    <t xml:space="preserve">S4 Consolidate settlement adapters
S12 Ready for T+1 in the UK and Europe, and for longer hours</t>
  </si>
  <si>
    <t xml:space="preserve">7.3</t>
  </si>
  <si>
    <t xml:space="preserve">Inventory and position engines</t>
  </si>
  <si>
    <t xml:space="preserve">Real-time position keeping, in-memory data grids (GemFire, Ignite), event streaming (Kafka), intraday views and snapshots.</t>
  </si>
  <si>
    <t xml:space="preserve">In-memory grids and event streams; the performance and resiliency hot spot.</t>
  </si>
  <si>
    <t xml:space="preserve">AI-assisted performance analysis; anomaly detection on streams.</t>
  </si>
  <si>
    <t xml:space="preserve">Ledger events into the event stream and the grid; reconciliation of on-ledger positions.</t>
  </si>
  <si>
    <t xml:space="preserve">Always-on running: no nightly rebuild, no single snapshot.</t>
  </si>
  <si>
    <t xml:space="preserve">S1 Position-engine recovery and peak headroom
S11 Bring the platform up to date</t>
  </si>
  <si>
    <t xml:space="preserve">Recovery of the position engine
Peak performance and headroom
Inventory data freshness
Technical debt and platform currency</t>
  </si>
  <si>
    <t xml:space="preserve">7.4</t>
  </si>
  <si>
    <t xml:space="preserve">Collateral optimization and liquidity engines</t>
  </si>
  <si>
    <t xml:space="preserve">Optimization solvers, eligibility rules engines, what-if analysis, liquidity forecasting and regulatory-metric calculators.</t>
  </si>
  <si>
    <t xml:space="preserve">The decision layer of the estate: where optimization and liquidity choices are computed.</t>
  </si>
  <si>
    <t xml:space="preserve">Solver with learned inputs; intraday what-if; models under SR 26-2.</t>
  </si>
  <si>
    <t xml:space="preserve">Tokenized pools as optimizer locations — vendors now offer this.</t>
  </si>
  <si>
    <t xml:space="preserve">Intraday calculators; new eligibility types.</t>
  </si>
  <si>
    <t xml:space="preserve">Optimizer cadence</t>
  </si>
  <si>
    <t xml:space="preserve">7.5</t>
  </si>
  <si>
    <t xml:space="preserve">Data, reference data and integration</t>
  </si>
  <si>
    <t xml:space="preserve">Security master, counterparty and legal-entity data, SSIs, agreements, market data; feeds to risk, finance and regulatory reporting.</t>
  </si>
  <si>
    <t xml:space="preserve">Every platform reads the same reference data; most defects trace back here.</t>
  </si>
  <si>
    <t xml:space="preserve">Entity resolution; extraction into golden sources.</t>
  </si>
  <si>
    <t xml:space="preserve">Token identifiers, wallets and ledgers as reference entities.</t>
  </si>
  <si>
    <t xml:space="preserve">New instrument types and clearing houses in the masters.</t>
  </si>
  <si>
    <t xml:space="preserve">S5 Close the loop on fails
S9 Named owners for reference and agreement data
N2 Eligibility and agreements as data
N13 Platform interfaces that agents and clients can call</t>
  </si>
  <si>
    <t xml:space="preserve">Control health
Fails caused by data or technology
Reference and agreement data readiness</t>
  </si>
  <si>
    <t xml:space="preserve">7.6</t>
  </si>
  <si>
    <t xml:space="preserve">Architecture, resiliency and performance</t>
  </si>
  <si>
    <t xml:space="preserve">Distributed-systems design, cloud-native platform, CI/CD, observability, DR, capacity and performance testing.</t>
  </si>
  <si>
    <t xml:space="preserve">The core technical mandate: the estate has to stay up, scale at peaks and change safely.</t>
  </si>
  <si>
    <t xml:space="preserve">AI-assisted incident analysis; test generation.</t>
  </si>
  <si>
    <t xml:space="preserve">Ledger nodes, keys and bridges inside the resilience perimeter.</t>
  </si>
  <si>
    <t xml:space="preserve">24x5 operation removes maintenance windows.</t>
  </si>
  <si>
    <t xml:space="preserve">S1 Position-engine recovery and peak headroom
S2 Service-level objectives and a published baseline
S3 Remove end-of-day dependencies
S10 Relieve the critical people
S11 Bring the platform up to date</t>
  </si>
  <si>
    <t xml:space="preserve">Availability of critical services
Major incidents and time to restore
Recovery of the position engine
Batch and cut-off performance
Peak performance and headroom
Change failure rate
Technical debt and platform currency
Always-on readiness</t>
  </si>
  <si>
    <t xml:space="preserve">8.1</t>
  </si>
  <si>
    <t xml:space="preserve">Engineering practice and delivery</t>
  </si>
  <si>
    <t xml:space="preserve">Code reviews, standards, SDLC controls, testing, release management, DORA metrics, team rituals.</t>
  </si>
  <si>
    <t xml:space="preserve">How change reaches production; the practice is the product.</t>
  </si>
  <si>
    <t xml:space="preserve">Coding agents inside code review and delivery controls.</t>
  </si>
  <si>
    <t xml:space="preserve">Review and release discipline for contract code.</t>
  </si>
  <si>
    <t xml:space="preserve">S2 Service-level objectives and a published baseline
S7 Control evidence from the pipeline</t>
  </si>
  <si>
    <t xml:space="preserve">Efficiency
Deployment frequency and lead time
Change failure rate
Automated tests and control evidence</t>
  </si>
  <si>
    <t xml:space="preserve">8.2</t>
  </si>
  <si>
    <t xml:space="preserve">AI-enabled engineering</t>
  </si>
  <si>
    <t xml:space="preserve">Coding agents, test generation, requirements-to-story, legacy analysis and migration with AI, guardrails and measurement.</t>
  </si>
  <si>
    <t xml:space="preserve">How AI changes the way software is built and maintained; the gain has to be measured, not assumed.</t>
  </si>
  <si>
    <t xml:space="preserve">The capability itself.</t>
  </si>
  <si>
    <t xml:space="preserve">Agents that write and test contract code need extra guardrails.</t>
  </si>
  <si>
    <t xml:space="preserve">N5 AI-assisted engineering on the legacy estate</t>
  </si>
  <si>
    <t xml:space="preserve">AI-assisted engineering: adoption and effect</t>
  </si>
  <si>
    <t xml:space="preserve">8.3</t>
  </si>
  <si>
    <t xml:space="preserve">Modernization and legacy replacement</t>
  </si>
  <si>
    <t xml:space="preserve">Strangler patterns, decommissioning, migration risk, vendor exits, data migration, parallel runs.</t>
  </si>
  <si>
    <t xml:space="preserve">Modernization is finished when the old system is switched off; reconciliation and parallel runs decide the pace.</t>
  </si>
  <si>
    <t xml:space="preserve">Legacy analysis and migration at lower cost.</t>
  </si>
  <si>
    <t xml:space="preserve">Connection to ledgers belongs in the target architecture, not bolted on later.</t>
  </si>
  <si>
    <t xml:space="preserve">Mandate and T+1 dates set the sequence.</t>
  </si>
  <si>
    <t xml:space="preserve">Efficiency
Legacy retired and volume on target platforms
Run versus change, and cost per trade</t>
  </si>
  <si>
    <t xml:space="preserve">8.4</t>
  </si>
  <si>
    <t xml:space="preserve">Team, talent and vendors</t>
  </si>
  <si>
    <t xml:space="preserve">The global team, hiring, role-model engineering culture, vendor and partner teams.</t>
  </si>
  <si>
    <t xml:space="preserve">The senior engineers are the scarce resource; the team sets the pace of everything else.</t>
  </si>
  <si>
    <t xml:space="preserve">Roles shift toward engineers who direct agents.</t>
  </si>
  <si>
    <t xml:space="preserve">Ledger engineering skills are scarce in the team.</t>
  </si>
  <si>
    <t xml:space="preserve">An always-on support model.</t>
  </si>
  <si>
    <t xml:space="preserve">S10 Relieve the critical people</t>
  </si>
  <si>
    <t xml:space="preserve">Run versus change, and cost per trade
Team health</t>
  </si>
  <si>
    <t xml:space="preserve">8.5</t>
  </si>
  <si>
    <t xml:space="preserve">AI in the financing business: decision and execution intelligence</t>
  </si>
  <si>
    <t xml:space="preserve">AI applied to the business itself, beyond the SDLC: fail and short-cover prediction, extraction of eligibility schedules and agreements, pricing and availability models, operations agents for breaks and repairs, read-only desk and client assistants.</t>
  </si>
  <si>
    <t xml:space="preserve">Two tracks with two control paths: decisions (optimizer, predictors — models under SR 26-2) and execution (agents under the bank's own AI governance). Financing-specific use is open ground at banks.</t>
  </si>
  <si>
    <t xml:space="preserve">Agents acting on ledgers need identity and limits; no public example joins the two yet.</t>
  </si>
  <si>
    <t xml:space="preserve">Intraday decisions outrun people; automation within limits.</t>
  </si>
  <si>
    <t xml:space="preserve">N4 Operations agents with human release
N13 Platform interfaces that agents and clients can call</t>
  </si>
  <si>
    <t xml:space="preserve">AI in production on financing data</t>
  </si>
  <si>
    <t xml:space="preserve">8.6</t>
  </si>
  <si>
    <t xml:space="preserve">Technology strategy across the three vectors</t>
  </si>
  <si>
    <t xml:space="preserve">Joining AI, tokenization and new instruments into one architecture: real-time inventory including on-ledger positions, eligibility and agreements as data, event-driven processing without a single end-of-day, agents within limits, one control map.</t>
  </si>
  <si>
    <t xml:space="preserve">The three are funded and governed separately but land on the same platforms, so the modernization sequence has to serve all three.</t>
  </si>
  <si>
    <t xml:space="preserve">Decision and execution intelligence on every platform.</t>
  </si>
  <si>
    <t xml:space="preserve">Ledgers as venues, locations and records.</t>
  </si>
  <si>
    <t xml:space="preserve">Instruments, hours and mandates that set the dates.</t>
  </si>
  <si>
    <t xml:space="preserve">Technology position against peers</t>
  </si>
  <si>
    <t xml:space="preserve">9.1</t>
  </si>
  <si>
    <t xml:space="preserve">Market infrastructure and vendors</t>
  </si>
  <si>
    <t xml:space="preserve">FICC, CME, LCH, Eurex, tri-party agents, ICSDs, matching and reporting vendors, optimization vendors, e-trading venues, tokenized repo and collateral platforms.</t>
  </si>
  <si>
    <t xml:space="preserve">The estate connects to all of these; each is a dependency and a choice between building, buying and connecting.</t>
  </si>
  <si>
    <t xml:space="preserve">Vendors expose agent endpoints and operations agents.</t>
  </si>
  <si>
    <t xml:space="preserve">Tokenized repo platforms, collateral ledgers, the depository's service, multi-ledger optimizers.</t>
  </si>
  <si>
    <t xml:space="preserve">Two new Treasury clearing houses.</t>
  </si>
  <si>
    <t xml:space="preserve">9.2</t>
  </si>
  <si>
    <t xml:space="preserve">Competitors' offerings and client needs</t>
  </si>
  <si>
    <t xml:space="preserve">How peer banks package financing (sponsored repo, agency lending, prime), what hedge funds, asset managers, sovereigns and MMFs ask for.</t>
  </si>
  <si>
    <t xml:space="preserve">What competitors offer and what clients ask for set the bar for the platforms.</t>
  </si>
  <si>
    <t xml:space="preserve">Read-only client assistants appear.</t>
  </si>
  <si>
    <t xml:space="preserve">Peers run their own ledgers and deposit tokens.</t>
  </si>
  <si>
    <t xml:space="preserve">Sponsored repo and intraday products as client offers.</t>
  </si>
  <si>
    <t xml:space="preserve">N13 Platform interfaces that agents and clients can call</t>
  </si>
  <si>
    <t xml:space="preserve">Share of wallet and rank with priority clients
Return on balance sheet by client and trade</t>
  </si>
  <si>
    <t xml:space="preserve">9.3</t>
  </si>
  <si>
    <t xml:space="preserve">Regulatory change pipeline</t>
  </si>
  <si>
    <t xml:space="preserve">Treasury clearing mandate (31 December 2026 cash, 30 June 2027 repo), UK Basel 3.1 (January 2027) and the US endgame re-proposal, UK and EU T+1 (11 October 2027), SEC loan reporting (now 2028), CSDR refit, stablecoin and tokenization rules, FCA and PRA change.</t>
  </si>
  <si>
    <t xml:space="preserve">The change pipeline is the book of work; the platforms' design must anticipate it.</t>
  </si>
  <si>
    <t xml:space="preserve">SR 26-2, EU AI Act timing, supervisory toolkits.</t>
  </si>
  <si>
    <t xml:space="preserve">Stablecoin rules, securities and derivatives regulators' positions, UK sandbox, Basel review.</t>
  </si>
  <si>
    <t xml:space="preserve">Clearing mandate, T+1, endgame, leverage ratio.</t>
  </si>
  <si>
    <t xml:space="preserve">S12 Ready for T+1 in the UK and Europe, and for longer hours</t>
  </si>
  <si>
    <t xml:space="preserve">9.4</t>
  </si>
  <si>
    <t xml:space="preserve">Market dynamics</t>
  </si>
  <si>
    <t xml:space="preserve">Repo rates (SOFR, SONIA, €STR), specials, Treasury supply, central-bank facilities (SRF, ON RRP), quarter-end dynamics, the basis trade.</t>
  </si>
  <si>
    <t xml:space="preserve">What the desk talks about at 07:30; without it the technology conversation is deaf.</t>
  </si>
  <si>
    <t xml:space="preserve">Morning-note synthesis.</t>
  </si>
  <si>
    <t xml:space="preserve">Tokenized repo volumes are now published data.</t>
  </si>
  <si>
    <t xml:space="preserve">Reserves, standing facilities, issuance, quarter-end.</t>
  </si>
  <si>
    <t xml:space="preserve">Funding cost and term profile</t>
  </si>
  <si>
    <t xml:space="preserve">10.1</t>
  </si>
  <si>
    <t xml:space="preserve">Tokenized collateral and on-ledger repo</t>
  </si>
  <si>
    <t xml:space="preserve">Repo and collateral movements recorded and settled on distributed ledgers: tokenized repo platforms, bank-run ledgers, collateral ledgers, industry financing trials, the depository's tokenization service.</t>
  </si>
  <si>
    <t xml:space="preserve">A new settlement venue and inventory location for the platforms: about $350bn a day on one platform (August 2026), yet concentrated in two pools.</t>
  </si>
  <si>
    <t xml:space="preserve">Optimizing across on-ledger and off-ledger pools.</t>
  </si>
  <si>
    <t xml:space="preserve">Intraday repo is its main product.</t>
  </si>
  <si>
    <t xml:space="preserve">N8 Connect to one tokenized repo and collateral venue</t>
  </si>
  <si>
    <t xml:space="preserve">Technology position against peers
Connectivity to new venues</t>
  </si>
  <si>
    <t xml:space="preserve">10.2</t>
  </si>
  <si>
    <t xml:space="preserve">Tokenized cash: deposit tokens, stablecoins and central-bank money on ledger</t>
  </si>
  <si>
    <t xml:space="preserve">The cash leg in digital form: bank deposit tokens, payment stablecoins under the GENIUS Act, central-bank money made usable on ledgers, shared payment ledgers.</t>
  </si>
  <si>
    <t xml:space="preserve">Settling repo and margin outside banking hours depends on it. Several banks already run tokenized-deposit services for payments and liquidity.</t>
  </si>
  <si>
    <t xml:space="preserve">Liquidity forecasting for cash that moves around the clock.</t>
  </si>
  <si>
    <t xml:space="preserve">Stablecoin rules; central-bank money on ledger.</t>
  </si>
  <si>
    <t xml:space="preserve">10.3</t>
  </si>
  <si>
    <t xml:space="preserve">Tokenized funds and digital bonds as collateral</t>
  </si>
  <si>
    <t xml:space="preserve">Tokenized money-market-fund shares, tokenized Treasuries and natively digital bonds used as margin and repo collateral; acceptance by clearing houses, tri-party agents, central banks and counterparties.</t>
  </si>
  <si>
    <t xml:space="preserve">New rows in every eligibility schedule and in the security master. Small today ($14.8bn of tokenized Treasury and money-market products) but aimed at margin.</t>
  </si>
  <si>
    <t xml:space="preserve">Extraction of fund and bond terms into eligibility data.</t>
  </si>
  <si>
    <t xml:space="preserve">Non-cash margin; central-bank eligibility; the digital gilt.</t>
  </si>
  <si>
    <t xml:space="preserve">N10 Tokenized funds and digital bonds in eligibility</t>
  </si>
  <si>
    <t xml:space="preserve">10.4</t>
  </si>
  <si>
    <t xml:space="preserve">Intraday and always-on liquidity</t>
  </si>
  <si>
    <t xml:space="preserve">Funding and collateral by the hour and minute: intraday repo, timed settlement, 24x5 clearing and 23x5 trading, longer RTGS and Fedwire hours, intraday liquidity buffers and their cost.</t>
  </si>
  <si>
    <t xml:space="preserve">Where tokenization is expected to pay first: the Treasury committee puts intraday liquidity needs near $1.2tn. Platforms built around end-of-day cannot price or book it.</t>
  </si>
  <si>
    <t xml:space="preserve">Intraday forecasting; funding decisions automated within limits.</t>
  </si>
  <si>
    <t xml:space="preserve">Tokenized cash and collateral make minute-level funding practical.</t>
  </si>
  <si>
    <t xml:space="preserve">S3 Remove end-of-day dependencies
N7 Intraday repo as a bookable product</t>
  </si>
  <si>
    <t xml:space="preserve">Intraday liquidity usage
Batch and cut-off performance
Always-on readiness</t>
  </si>
  <si>
    <t xml:space="preserve">10.5</t>
  </si>
  <si>
    <t xml:space="preserve">DLT platform engineering and interoperability</t>
  </si>
  <si>
    <t xml:space="preserve">Building on and connecting to ledgers: contract languages and networks, smart-contract design and change control, key and wallet management, privacy, bringing on-ledger events into the event stream and the position engines.</t>
  </si>
  <si>
    <t xml:space="preserve">The hands-on bar, extended: a ledger is a new kind of system of record beside the in-memory grids, with its own failure modes.</t>
  </si>
  <si>
    <t xml:space="preserve">AI-assisted testing and review of contract code.</t>
  </si>
  <si>
    <t xml:space="preserve">New instruments arrive as contracts to integrate.</t>
  </si>
  <si>
    <t xml:space="preserve">10.6</t>
  </si>
  <si>
    <t xml:space="preserve">Legal, regulatory and prudential treatment of digital assets</t>
  </si>
  <si>
    <t xml:space="preserve">How tokenized securities, tokenized cash and crypto-linked collateral are treated: securities law, custody and client-asset rules, capital and liquidity treatment, master-agreement annexes, new product approval.</t>
  </si>
  <si>
    <t xml:space="preserve">Decides what the desk may accept and at what cost. 'Same asset, same treatment' is the working rule in the US, but the detail differs by form: native, mirror or entitlement.</t>
  </si>
  <si>
    <t xml:space="preserve">Tracking rule changes across jurisdictions.</t>
  </si>
  <si>
    <t xml:space="preserve">Each instrument needs its own treatment answer.</t>
  </si>
  <si>
    <t xml:space="preserve">Opportunities — where stability and innovation can move the numbers</t>
  </si>
  <si>
    <t xml:space="preserve">12 stability and 13 innovation opportunities, placed by when they could start. Each names the KPIs it moves and a first proof point. Every row is a hypothesis, built from public material and experience of platforms like these, to be confirmed or dropped with the desk, operations and the engineers; Status is an input (blue). Horizon: Now = first six months · Next = six to eighteen months · Later = beyond eighteen months.</t>
  </si>
  <si>
    <t xml:space="preserve">Opportunity</t>
  </si>
  <si>
    <t xml:space="preserve">What</t>
  </si>
  <si>
    <t xml:space="preserve">Why now</t>
  </si>
  <si>
    <t xml:space="preserve">Lever</t>
  </si>
  <si>
    <t xml:space="preserve">Horizon</t>
  </si>
  <si>
    <t xml:space="preserve">KPIs it moves</t>
  </si>
  <si>
    <t xml:space="preserve">First proof point</t>
  </si>
  <si>
    <t xml:space="preserve">S1</t>
  </si>
  <si>
    <t xml:space="preserve">Position-engine recovery and peak headroom</t>
  </si>
  <si>
    <t xml:space="preserve">Measure and shorten the time to rebuild the in-memory position store after losing a node or a site, and test it at year-end volumes.</t>
  </si>
  <si>
    <t xml:space="preserve">In estates built on in-memory grids, recovery and peak volumes are usually where the pain is. To confirm.</t>
  </si>
  <si>
    <t xml:space="preserve">Resilience</t>
  </si>
  <si>
    <t xml:space="preserve">7.3 Inventory and position engines
7.6 Architecture, resiliency and performance
3.1 Positions and inventory</t>
  </si>
  <si>
    <t xml:space="preserve">Recovery of the position engine
Peak performance and headroom
Availability of critical services</t>
  </si>
  <si>
    <t xml:space="preserve">A recovery test at peak volume, signed off by the engineers.</t>
  </si>
  <si>
    <t xml:space="preserve">Hypothesis</t>
  </si>
  <si>
    <t xml:space="preserve">S2</t>
  </si>
  <si>
    <t xml:space="preserve">Service-level objectives and a published baseline</t>
  </si>
  <si>
    <t xml:space="preserve">Set objectives and error budgets for booking, settlement, inventory and optimization, and publish delivery and reliability measures monthly.</t>
  </si>
  <si>
    <t xml:space="preserve">Clients choose financing providers on reliability; a baseline is the first thing to publish.</t>
  </si>
  <si>
    <t xml:space="preserve">7.6 Architecture, resiliency and performance
8.1 Engineering practice and delivery</t>
  </si>
  <si>
    <t xml:space="preserve">Availability of critical services
Major incidents and time to restore
Deployment frequency and lead time
Change failure rate</t>
  </si>
  <si>
    <t xml:space="preserve">A baseline published in week 3 and every month after.</t>
  </si>
  <si>
    <t xml:space="preserve">S3</t>
  </si>
  <si>
    <t xml:space="preserve">Remove end-of-day dependencies</t>
  </si>
  <si>
    <t xml:space="preserve">Map batch jobs and date rolls, and remove the ones that stop the estate running through the night.</t>
  </si>
  <si>
    <t xml:space="preserve">Clearing runs 24x5 already; 23x5 trading starts in December 2026; payment hours lengthen in 2027.</t>
  </si>
  <si>
    <t xml:space="preserve">10.4 Intraday and always-on liquidity
7.6 Architecture, resiliency and performance
7.1 Booking and trade-capture platforms</t>
  </si>
  <si>
    <t xml:space="preserve">Batch and cut-off performance
Always-on readiness</t>
  </si>
  <si>
    <t xml:space="preserve">A batch-dependency map with the three that block overnight running.</t>
  </si>
  <si>
    <t xml:space="preserve">S4</t>
  </si>
  <si>
    <t xml:space="preserve">Consolidate settlement adapters</t>
  </si>
  <si>
    <t xml:space="preserve">One internal instruction model with a thin adapter per agent, depository and venue.</t>
  </si>
  <si>
    <t xml:space="preserve">Each bespoke adapter is a slow, risky release, and new venues are arriving.</t>
  </si>
  <si>
    <t xml:space="preserve">Engineering</t>
  </si>
  <si>
    <t xml:space="preserve">7.2 Settlement and messaging
2.4 Settlement and fails</t>
  </si>
  <si>
    <t xml:space="preserve">Straight-through processing
Fails caused by data or technology
Settlement fails and their cost</t>
  </si>
  <si>
    <t xml:space="preserve">An adapter inventory with failure history and the first two to merge.</t>
  </si>
  <si>
    <t xml:space="preserve">S5</t>
  </si>
  <si>
    <t xml:space="preserve">Close the loop on fails</t>
  </si>
  <si>
    <t xml:space="preserve">Feed fail causes and their cost back to booking and to the upkeep of settlement instructions.</t>
  </si>
  <si>
    <t xml:space="preserve">Fails usually cluster on a few counterparties and data errors, and the cost is rarely fed back to where the data is kept. To confirm here.</t>
  </si>
  <si>
    <t xml:space="preserve">Data</t>
  </si>
  <si>
    <t xml:space="preserve">2.4 Settlement and fails
3.3 Fails and short-cover management
7.5 Data, reference data and integration</t>
  </si>
  <si>
    <t xml:space="preserve">Settlement fails and their cost
Cost of failure
Fails caused by data or technology</t>
  </si>
  <si>
    <t xml:space="preserve">A fails Pareto with cost and the three data fixes that remove the most.</t>
  </si>
  <si>
    <t xml:space="preserve">S6</t>
  </si>
  <si>
    <t xml:space="preserve">Fix repeat breaks at the source</t>
  </si>
  <si>
    <t xml:space="preserve">Classify reconciliation breaks by originating feed and event, and fix upstream.</t>
  </si>
  <si>
    <t xml:space="preserve">In most estates the same feeds produce the same breaks every day. To confirm here.</t>
  </si>
  <si>
    <t xml:space="preserve">3.4 Books and records reconciliation</t>
  </si>
  <si>
    <t xml:space="preserve">A break taxonomy by source system.</t>
  </si>
  <si>
    <t xml:space="preserve">S7</t>
  </si>
  <si>
    <t xml:space="preserve">Control evidence from the pipeline</t>
  </si>
  <si>
    <t xml:space="preserve">Tests, approvals and audit evidence captured automatically at release.</t>
  </si>
  <si>
    <t xml:space="preserve">Audit findings on technology typically concentrate on change and access evidence; automating it speeds delivery too.</t>
  </si>
  <si>
    <t xml:space="preserve">8.1 Engineering practice and delivery
6.3 Regulatory and operational controls</t>
  </si>
  <si>
    <t xml:space="preserve">Automated tests and control evidence
Open audit and security findings
Deployment frequency and lead time</t>
  </si>
  <si>
    <t xml:space="preserve">One service releasing with fully automated evidence.</t>
  </si>
  <si>
    <t xml:space="preserve">S8</t>
  </si>
  <si>
    <t xml:space="preserve">Design the clearing mandate into the platform</t>
  </si>
  <si>
    <t xml:space="preserve">Booking, margin and netting that work across several clearing houses, built once.</t>
  </si>
  <si>
    <t xml:space="preserve">Cash clearing is due 31 December 2026 and repo 30 June 2027, with two new clearing houses.</t>
  </si>
  <si>
    <t xml:space="preserve">Market structure</t>
  </si>
  <si>
    <t xml:space="preserve">2.3 Clearing and CCP interaction
5.2 Balance sheet, capital and netting
7.1 Booking and trade-capture platforms</t>
  </si>
  <si>
    <t xml:space="preserve">An impact map by platform, agreed with the mandate program.</t>
  </si>
  <si>
    <t xml:space="preserve">S9</t>
  </si>
  <si>
    <t xml:space="preserve">Named owners for reference and agreement data</t>
  </si>
  <si>
    <t xml:space="preserve">Golden sources and owners for settlement instructions, agreements and eligibility.</t>
  </si>
  <si>
    <t xml:space="preserve">Most fails, disputes and optimizer errors usually trace back to this data.</t>
  </si>
  <si>
    <t xml:space="preserve">7.5 Data, reference data and integration
6.4 Legal agreements and documentation
4.1 Eligibility, haircuts and schedules</t>
  </si>
  <si>
    <t xml:space="preserve">Reference and agreement data readiness
Fails caused by data or technology</t>
  </si>
  <si>
    <t xml:space="preserve">An entity-to-golden-source map with readiness scores.</t>
  </si>
  <si>
    <t xml:space="preserve">S10</t>
  </si>
  <si>
    <t xml:space="preserve">Relieve the critical people</t>
  </si>
  <si>
    <t xml:space="preserve">Move senior engineers off production support through runbooks, automation and cover.</t>
  </si>
  <si>
    <t xml:space="preserve">The engineers modernization needs are usually the ones holding production together. To confirm here.</t>
  </si>
  <si>
    <t xml:space="preserve">People</t>
  </si>
  <si>
    <t xml:space="preserve">8.4 Team, talent and vendors
7.6 Architecture, resiliency and performance</t>
  </si>
  <si>
    <t xml:space="preserve">Team health
Run versus change, and cost per trade</t>
  </si>
  <si>
    <t xml:space="preserve">A team map with critical-person risk and the first three hires.</t>
  </si>
  <si>
    <t xml:space="preserve">S11</t>
  </si>
  <si>
    <t xml:space="preserve">Bring the platform up to date</t>
  </si>
  <si>
    <t xml:space="preserve">Move runtimes and middleware to supported versions.</t>
  </si>
  <si>
    <t xml:space="preserve">Kafka dropped ZooKeeper in 2025, GemFire is subscription-only, and Ignite 2 to 3 is a migration.</t>
  </si>
  <si>
    <t xml:space="preserve">7.3 Inventory and position engines
7.6 Architecture, resiliency and performance</t>
  </si>
  <si>
    <t xml:space="preserve">Technical debt and platform currency</t>
  </si>
  <si>
    <t xml:space="preserve">An end-of-support inventory with dates and owners.</t>
  </si>
  <si>
    <t xml:space="preserve">S12</t>
  </si>
  <si>
    <t xml:space="preserve">Ready for T+1 in the UK and Europe, and for longer hours</t>
  </si>
  <si>
    <t xml:space="preserve">Compress financing and settlement timelines ahead of October 2027.</t>
  </si>
  <si>
    <t xml:space="preserve">UK, EU and Swiss T+1 goes live on 11 October 2027; industry testing starts in early 2027.</t>
  </si>
  <si>
    <t xml:space="preserve">2.4 Settlement and fails
7.2 Settlement and messaging
9.3 Regulatory change pipeline</t>
  </si>
  <si>
    <t xml:space="preserve">Readiness for dated market change
Batch and cut-off performance</t>
  </si>
  <si>
    <t xml:space="preserve">A timeline of what moves earlier in the day, by platform.</t>
  </si>
  <si>
    <t xml:space="preserve">N1</t>
  </si>
  <si>
    <t xml:space="preserve">Intraday collateral optimization</t>
  </si>
  <si>
    <t xml:space="preserve">Run the optimizer during the day on trusted positions, with what-if for the desk.</t>
  </si>
  <si>
    <t xml:space="preserve">Tokenized collateral and intraday repo make continuous optimization worth running; the limit is data timing.</t>
  </si>
  <si>
    <t xml:space="preserve">AI · Tokenization</t>
  </si>
  <si>
    <t xml:space="preserve">4.2 Collateral optimization
7.4 Collateral optimization and liquidity engines
3.1 Positions and inventory</t>
  </si>
  <si>
    <t xml:space="preserve">Collateral efficiency
Inventory put to work
Optimizer cadence</t>
  </si>
  <si>
    <t xml:space="preserve">A feasibility assessment extended to one tokenized venue.</t>
  </si>
  <si>
    <t xml:space="preserve">N2</t>
  </si>
  <si>
    <t xml:space="preserve">Eligibility and agreements as data</t>
  </si>
  <si>
    <t xml:space="preserve">Extract eligibility schedules and agreement terms into the Common Domain Model with language models, reconciled with legal.</t>
  </si>
  <si>
    <t xml:space="preserve">Extraction now exceeds 90% accuracy in published tests, and the data model covers eligibility.</t>
  </si>
  <si>
    <t xml:space="preserve">AI</t>
  </si>
  <si>
    <t xml:space="preserve">4.1 Eligibility, haircuts and schedules
6.4 Legal agreements and documentation
7.5 Data, reference data and integration</t>
  </si>
  <si>
    <t xml:space="preserve">Reference and agreement data readiness
Collateral efficiency
Margin calls and disputes</t>
  </si>
  <si>
    <t xml:space="preserve">Ten schedules extracted and reconciled to the engine.</t>
  </si>
  <si>
    <t xml:space="preserve">N3</t>
  </si>
  <si>
    <t xml:space="preserve">Predict fails and short covers</t>
  </si>
  <si>
    <t xml:space="preserve">A first decision model on inventory data, with a measured outcome.</t>
  </si>
  <si>
    <t xml:space="preserve">Infrastructures already run settlement-prediction models up to four days ahead.</t>
  </si>
  <si>
    <t xml:space="preserve">3.3 Fails and short-cover management
2.4 Settlement and fails</t>
  </si>
  <si>
    <t xml:space="preserve">Settlement fails and their cost
Cost of failure
AI in production on financing data</t>
  </si>
  <si>
    <t xml:space="preserve">A feature list from existing data and a back-test.</t>
  </si>
  <si>
    <t xml:space="preserve">N4</t>
  </si>
  <si>
    <t xml:space="preserve">Operations agents with human release</t>
  </si>
  <si>
    <t xml:space="preserve">Agents research fails and breaks and propose the repair; a person releases it.</t>
  </si>
  <si>
    <t xml:space="preserve">Vendors run this in production; supervisors ask about scope of action and reversibility.</t>
  </si>
  <si>
    <t xml:space="preserve">2.4 Settlement and fails
3.4 Books and records reconciliation
8.5 AI in the financing business: decision and execution intelligence</t>
  </si>
  <si>
    <t xml:space="preserve">Breaks and reconciliation
Straight-through processing
AI in production on financing data</t>
  </si>
  <si>
    <t xml:space="preserve">Authority tiers agreed with operations and AI governance.</t>
  </si>
  <si>
    <t xml:space="preserve">N5</t>
  </si>
  <si>
    <t xml:space="preserve">AI-assisted engineering on the legacy estate</t>
  </si>
  <si>
    <t xml:space="preserve">Test generation and code-to-specification on booking and settlement services.</t>
  </si>
  <si>
    <t xml:space="preserve">Large banks are rolling coding agents out to their developers; the open question is the measured effect on a legacy Java estate.</t>
  </si>
  <si>
    <t xml:space="preserve">8.2 AI-enabled engineering
8.3 Modernization and legacy replacement
7.1 Booking and trade-capture platforms</t>
  </si>
  <si>
    <t xml:space="preserve">AI-assisted engineering: adoption and effect
Deployment frequency and lead time
Legacy retired and volume on target platforms
Efficiency</t>
  </si>
  <si>
    <t xml:space="preserve">One measured pilot on one financing service.</t>
  </si>
  <si>
    <t xml:space="preserve">N6</t>
  </si>
  <si>
    <t xml:space="preserve">Balance sheet and liquidity shown before the trade</t>
  </si>
  <si>
    <t xml:space="preserve">Leverage, RWA and liquidity-ratio impact computed intraday and shown to the desk.</t>
  </si>
  <si>
    <t xml:space="preserve">Capital and leverage rules changed in 2026; capacity is the constraint peers describe.</t>
  </si>
  <si>
    <t xml:space="preserve">5.1 Regulatory liquidity (LCR, NSFR, HQLA)
5.2 Balance sheet, capital and netting
1.4 Funding, treasury interface and balance-sheet allocation</t>
  </si>
  <si>
    <t xml:space="preserve">Balance sheet used against budget, intraday
Return on balance sheet by client and trade
Balance-sheet and leverage usage against allocation
Revenue per unit of balance sheet and of risk-weighted assets
Return on tangible common equity</t>
  </si>
  <si>
    <t xml:space="preserve">One trade's ratio impact traced end to end.</t>
  </si>
  <si>
    <t xml:space="preserve">N7</t>
  </si>
  <si>
    <t xml:space="preserve">Intraday repo as a bookable product</t>
  </si>
  <si>
    <t xml:space="preserve">Trades with a start time and an end time, priced by time.</t>
  </si>
  <si>
    <t xml:space="preserve">Three platforms operate and the market is small today; most booking systems assume a trade lasts at least a day.</t>
  </si>
  <si>
    <t xml:space="preserve">Instruments</t>
  </si>
  <si>
    <t xml:space="preserve">10.4 Intraday and always-on liquidity
1.1 Repo and reverse repo
7.1 Booking and trade-capture platforms
5.3 Funding cost, FTP and P&amp;L attribution</t>
  </si>
  <si>
    <t xml:space="preserve">Intraday liquidity usage
Net spread on the book
Funding cost and term profile</t>
  </si>
  <si>
    <t xml:space="preserve">A one-page list of what an intraday trade breaks today.</t>
  </si>
  <si>
    <t xml:space="preserve">N8</t>
  </si>
  <si>
    <t xml:space="preserve">Connect to one tokenized repo and collateral venue</t>
  </si>
  <si>
    <t xml:space="preserve">Treat a ledger as a venue and as a place inventory sits.</t>
  </si>
  <si>
    <t xml:space="preserve">About $350bn a day runs on one platform; the US depository's service is in limited production.</t>
  </si>
  <si>
    <t xml:space="preserve">Tokenization</t>
  </si>
  <si>
    <t xml:space="preserve">10.1 Tokenized collateral and on-ledger repo
10.5 DLT platform engineering and interoperability
3.1 Positions and inventory</t>
  </si>
  <si>
    <t xml:space="preserve">Connectivity to new venues
Inventory put to work
Intraday liquidity usage
Technology position against peers</t>
  </si>
  <si>
    <t xml:space="preserve">One tokenized trade traced through every internal system.</t>
  </si>
  <si>
    <t xml:space="preserve">N9</t>
  </si>
  <si>
    <t xml:space="preserve">Tokenized cash as the cash leg</t>
  </si>
  <si>
    <t xml:space="preserve">Use a tokenized-deposit service for repo or margin cash where permitted.</t>
  </si>
  <si>
    <t xml:space="preserve">Tokenized deposits are live at several banks for payments and liquidity; using them as the cash leg of financing is the next step.</t>
  </si>
  <si>
    <t xml:space="preserve">10.2 Tokenized cash: deposit tokens, stablecoins and central-bank money on ledger
5.4 Liquidity risk management and stress</t>
  </si>
  <si>
    <t xml:space="preserve">Intraday liquidity usage
Connectivity to new venues
Liquidity and funding position</t>
  </si>
  <si>
    <t xml:space="preserve">A cash-leg options map: hours, finality, cost, treatment.</t>
  </si>
  <si>
    <t xml:space="preserve">N10</t>
  </si>
  <si>
    <t xml:space="preserve">Tokenized funds and digital bonds in eligibility</t>
  </si>
  <si>
    <t xml:space="preserve">Accept a tokenized money-market fund and a natively digital bond as collateral.</t>
  </si>
  <si>
    <t xml:space="preserve">Regulators accept tokenized funds as margin where rights are equivalent; the euro area accepts digital bonds as collateral.</t>
  </si>
  <si>
    <t xml:space="preserve">Instruments · Tokenization</t>
  </si>
  <si>
    <t xml:space="preserve">10.3 Tokenized funds and digital bonds as collateral
4.1 Eligibility, haircuts and schedules
4.3 Margin management</t>
  </si>
  <si>
    <t xml:space="preserve">Collateral efficiency
Margin calls and disputes</t>
  </si>
  <si>
    <t xml:space="preserve">A gap list for accepting one tokenized fund.</t>
  </si>
  <si>
    <t xml:space="preserve">N11</t>
  </si>
  <si>
    <t xml:space="preserve">One margin and inventory view across prime and fixed-income financing</t>
  </si>
  <si>
    <t xml:space="preserve">Cross-product margining and shared inventory across the two financing businesses.</t>
  </si>
  <si>
    <t xml:space="preserve">Cross-product margining is a stated investment at large dealers, and prime balances are the fastest-growing part of financing.</t>
  </si>
  <si>
    <t xml:space="preserve">1.5 Prime finance and synthetic financing
4.3 Margin management
3.1 Positions and inventory</t>
  </si>
  <si>
    <t xml:space="preserve">Client balances
Financing revenue and growth
Inventory put to work
Counterparty exposure and concentration</t>
  </si>
  <si>
    <t xml:space="preserve">A map of where the two stacks share and where they do not.</t>
  </si>
  <si>
    <t xml:space="preserve">N12</t>
  </si>
  <si>
    <t xml:space="preserve">Internalize earlier in the day</t>
  </si>
  <si>
    <t xml:space="preserve">Predict recalls and availability, and match internally before going to market.</t>
  </si>
  <si>
    <t xml:space="preserve">Securities-lending revenue is at a record; internal matching depends on how early availability is known.</t>
  </si>
  <si>
    <t xml:space="preserve">3.2 Availability, allocation and internalization
1.2 Securities lending and borrowing</t>
  </si>
  <si>
    <t xml:space="preserve">Inventory put to work
Specials and client flow capture</t>
  </si>
  <si>
    <t xml:space="preserve">One month's internalization rate with the timing gap.</t>
  </si>
  <si>
    <t xml:space="preserve">N13</t>
  </si>
  <si>
    <t xml:space="preserve">Platform interfaces that agents and clients can call</t>
  </si>
  <si>
    <t xml:space="preserve">Entitled, audited interfaces for agents and for client systems.</t>
  </si>
  <si>
    <t xml:space="preserve">Vendors are exposing agent endpoints; the standards moved to neutral governance in 2025–26.</t>
  </si>
  <si>
    <t xml:space="preserve">8.5 AI in the financing business: decision and execution intelligence
7.5 Data, reference data and integration
9.2 Competitors' offerings and client needs</t>
  </si>
  <si>
    <t xml:space="preserve">AI in production on financing data
Specials and client flow capture
Share of wallet and rank with priority clients</t>
  </si>
  <si>
    <t xml:space="preserve">A read-only interface on one service with full audit.</t>
  </si>
</sst>
</file>

<file path=xl/styles.xml><?xml version="1.0" encoding="utf-8"?>
<styleSheet xmlns="http://schemas.openxmlformats.org/spreadsheetml/2006/main">
  <numFmts count="3">
    <numFmt numFmtId="164" formatCode="General"/>
    <numFmt numFmtId="165" formatCode="0"/>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6C757D"/>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i val="true"/>
      <sz val="9"/>
      <color rgb="FF6C757D"/>
      <name val="Arial"/>
      <family val="0"/>
      <charset val="1"/>
    </font>
    <font>
      <sz val="10"/>
      <color rgb="FF0000FF"/>
      <name val="Arial"/>
      <family val="0"/>
      <charset val="1"/>
    </font>
  </fonts>
  <fills count="5">
    <fill>
      <patternFill patternType="none"/>
    </fill>
    <fill>
      <patternFill patternType="gray125"/>
    </fill>
    <fill>
      <patternFill patternType="solid">
        <fgColor rgb="FFD9E1F2"/>
        <bgColor rgb="FFE2EFDA"/>
      </patternFill>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3">
    <dxf>
      <fill>
        <patternFill>
          <bgColor rgb="FFE2EFDA"/>
        </patternFill>
      </fill>
    </dxf>
    <dxf>
      <fill>
        <patternFill>
          <bgColor rgb="FFFFF2CC"/>
        </patternFill>
      </fill>
    </dxf>
    <dxf>
      <fill>
        <patternFill>
          <bgColor rgb="FFF8D7DA"/>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8EA9C1"/>
          <bgColor rgb="FF000000"/>
        </patternFill>
      </fill>
    </dxf>
    <dxf>
      <fill>
        <patternFill patternType="solid">
          <fgColor rgb="FFBDD0E9"/>
          <bgColor rgb="FF000000"/>
        </patternFill>
      </fill>
    </dxf>
    <dxf>
      <fill>
        <patternFill patternType="solid">
          <fgColor rgb="FFEAF0F8"/>
          <bgColor rgb="FF000000"/>
        </patternFill>
      </fill>
    </dxf>
    <dxf>
      <fill>
        <patternFill patternType="solid">
          <fgColor rgb="FF0000FF"/>
          <bgColor rgb="FF000000"/>
        </patternFill>
      </fill>
    </dxf>
    <dxf>
      <fill>
        <patternFill patternType="solid">
          <fgColor rgb="FF9BB3C8"/>
          <bgColor rgb="FF000000"/>
        </patternFill>
      </fill>
    </dxf>
    <dxf>
      <fill>
        <patternFill patternType="solid">
          <fgColor rgb="FFA8BDCF"/>
          <bgColor rgb="FF000000"/>
        </patternFill>
      </fill>
    </dxf>
    <dxf>
      <fill>
        <patternFill patternType="solid">
          <fgColor rgb="FFB4C6D6"/>
          <bgColor rgb="FF000000"/>
        </patternFill>
      </fill>
    </dxf>
    <dxf>
      <fill>
        <patternFill patternType="solid">
          <fgColor rgb="FFC1D0DD"/>
          <bgColor rgb="FF000000"/>
        </patternFill>
      </fill>
    </dxf>
    <dxf>
      <fill>
        <patternFill patternType="solid">
          <fgColor rgb="FFCDD9E4"/>
          <bgColor rgb="FF000000"/>
        </patternFill>
      </fill>
    </dxf>
    <dxf>
      <fill>
        <patternFill patternType="solid">
          <fgColor rgb="FFE6ECF2"/>
          <bgColor rgb="FF000000"/>
        </patternFill>
      </fill>
    </dxf>
    <dxf>
      <fill>
        <patternFill>
          <bgColor rgb="FFEAF0F8"/>
        </patternFill>
      </fill>
    </dxf>
    <dxf>
      <fill>
        <patternFill>
          <bgColor rgb="FFBDD0E9"/>
        </patternFill>
      </fill>
    </dxf>
    <dxf>
      <fill>
        <patternFill>
          <bgColor rgb="FF8EA9C1"/>
        </patternFill>
      </fill>
    </dxf>
    <dxf>
      <fill>
        <patternFill patternType="solid">
          <fgColor rgb="FFD9E1F2"/>
          <bgColor rgb="FF000000"/>
        </patternFill>
      </fill>
    </dxf>
    <dxf>
      <fill>
        <patternFill patternType="solid">
          <fgColor rgb="FFFFFF00"/>
          <bgColor rgb="FF000000"/>
        </patternFill>
      </fill>
    </dxf>
    <dxf>
      <fill>
        <patternFill>
          <bgColor rgb="FFD9E1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6C757D"/>
      <rgbColor rgb="FF9999FF"/>
      <rgbColor rgb="FF993366"/>
      <rgbColor rgb="FFFFF2CC"/>
      <rgbColor rgb="FFEAF0F8"/>
      <rgbColor rgb="FF660066"/>
      <rgbColor rgb="FFFF8080"/>
      <rgbColor rgb="FF0066CC"/>
      <rgbColor rgb="FFBDD0E9"/>
      <rgbColor rgb="FF000080"/>
      <rgbColor rgb="FFFF00FF"/>
      <rgbColor rgb="FFFFFF00"/>
      <rgbColor rgb="FF00FFFF"/>
      <rgbColor rgb="FF800080"/>
      <rgbColor rgb="FF800000"/>
      <rgbColor rgb="FF008080"/>
      <rgbColor rgb="FF0000FF"/>
      <rgbColor rgb="FF00CCFF"/>
      <rgbColor rgb="FFD9E1F2"/>
      <rgbColor rgb="FFE2EFDA"/>
      <rgbColor rgb="FFFFFF99"/>
      <rgbColor rgb="FF99CCFF"/>
      <rgbColor rgb="FFFF99CC"/>
      <rgbColor rgb="FFCC99FF"/>
      <rgbColor rgb="FFF8D7DA"/>
      <rgbColor rgb="FF3366FF"/>
      <rgbColor rgb="FF33CCCC"/>
      <rgbColor rgb="FF99CC00"/>
      <rgbColor rgb="FFFFCC00"/>
      <rgbColor rgb="FFFF9900"/>
      <rgbColor rgb="FFFF6600"/>
      <rgbColor rgb="FF666699"/>
      <rgbColor rgb="FF8EA9C1"/>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G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6"/>
  </cols>
  <sheetData>
    <row r="1" customFormat="false" ht="24" hidden="false" customHeight="true" outlineLevel="0" collapsed="false">
      <c r="A1" s="1" t="s">
        <v>0</v>
      </c>
    </row>
    <row r="2" customFormat="false" ht="30" hidden="false" customHeight="true" outlineLevel="0" collapsed="false">
      <c r="A2" s="2" t="s">
        <v>1</v>
      </c>
      <c r="B2" s="2"/>
      <c r="C2" s="2"/>
      <c r="D2" s="2"/>
      <c r="E2" s="2"/>
      <c r="F2" s="2"/>
      <c r="G2" s="2"/>
    </row>
    <row r="4" customFormat="false" ht="19.5" hidden="false" customHeight="true" outlineLevel="0" collapsed="false">
      <c r="A4" s="3" t="s">
        <v>2</v>
      </c>
      <c r="B4" s="3"/>
      <c r="C4" s="3"/>
      <c r="D4" s="3"/>
      <c r="E4" s="3"/>
      <c r="F4" s="3"/>
      <c r="G4" s="3"/>
    </row>
    <row r="5" customFormat="false" ht="41.25" hidden="false" customHeight="true" outlineLevel="0" collapsed="false">
      <c r="A5" s="4" t="s">
        <v>3</v>
      </c>
      <c r="B5" s="4"/>
      <c r="C5" s="4"/>
      <c r="D5" s="4"/>
      <c r="E5" s="4"/>
      <c r="F5" s="4"/>
      <c r="G5" s="4"/>
    </row>
    <row r="6" customFormat="false" ht="28.5" hidden="false" customHeight="true" outlineLevel="0" collapsed="false">
      <c r="A6" s="4" t="s">
        <v>4</v>
      </c>
      <c r="B6" s="4"/>
      <c r="C6" s="4"/>
      <c r="D6" s="4"/>
      <c r="E6" s="4"/>
      <c r="F6" s="4"/>
      <c r="G6" s="4"/>
    </row>
    <row r="8" customFormat="false" ht="19.5" hidden="false" customHeight="true" outlineLevel="0" collapsed="false">
      <c r="A8" s="3" t="s">
        <v>5</v>
      </c>
      <c r="B8" s="3"/>
      <c r="C8" s="3"/>
      <c r="D8" s="3"/>
      <c r="E8" s="3"/>
      <c r="F8" s="3"/>
      <c r="G8" s="3"/>
    </row>
    <row r="9" customFormat="false" ht="30" hidden="false" customHeight="true" outlineLevel="0" collapsed="false">
      <c r="A9" s="5" t="s">
        <v>6</v>
      </c>
      <c r="B9" s="5" t="s">
        <v>7</v>
      </c>
      <c r="C9" s="5"/>
      <c r="D9" s="5"/>
      <c r="E9" s="5"/>
      <c r="F9" s="5"/>
      <c r="G9" s="5"/>
    </row>
    <row r="10" customFormat="false" ht="28.5" hidden="false" customHeight="true" outlineLevel="0" collapsed="false">
      <c r="A10" s="6" t="s">
        <v>8</v>
      </c>
      <c r="B10" s="7" t="s">
        <v>9</v>
      </c>
      <c r="C10" s="7"/>
      <c r="D10" s="7"/>
      <c r="E10" s="7"/>
      <c r="F10" s="7"/>
      <c r="G10" s="7"/>
    </row>
    <row r="11" customFormat="false" ht="28.5" hidden="false" customHeight="true" outlineLevel="0" collapsed="false">
      <c r="A11" s="6" t="s">
        <v>10</v>
      </c>
      <c r="B11" s="7" t="s">
        <v>11</v>
      </c>
      <c r="C11" s="7"/>
      <c r="D11" s="7"/>
      <c r="E11" s="7"/>
      <c r="F11" s="7"/>
      <c r="G11" s="7"/>
    </row>
    <row r="12" customFormat="false" ht="15.75" hidden="false" customHeight="true" outlineLevel="0" collapsed="false">
      <c r="A12" s="6" t="s">
        <v>12</v>
      </c>
      <c r="B12" s="7" t="s">
        <v>13</v>
      </c>
      <c r="C12" s="7"/>
      <c r="D12" s="7"/>
      <c r="E12" s="7"/>
      <c r="F12" s="7"/>
      <c r="G12" s="7"/>
    </row>
    <row r="14" customFormat="false" ht="19.5" hidden="false" customHeight="true" outlineLevel="0" collapsed="false">
      <c r="A14" s="3" t="s">
        <v>14</v>
      </c>
      <c r="B14" s="3"/>
      <c r="C14" s="3"/>
      <c r="D14" s="3"/>
      <c r="E14" s="3"/>
      <c r="F14" s="3"/>
      <c r="G14" s="3"/>
    </row>
    <row r="15" customFormat="false" ht="30" hidden="false" customHeight="true" outlineLevel="0" collapsed="false">
      <c r="A15" s="5" t="s">
        <v>15</v>
      </c>
      <c r="B15" s="5" t="s">
        <v>16</v>
      </c>
      <c r="C15" s="5"/>
      <c r="D15" s="5"/>
      <c r="E15" s="5" t="s">
        <v>17</v>
      </c>
      <c r="F15" s="5" t="s">
        <v>18</v>
      </c>
      <c r="G15" s="5" t="s">
        <v>19</v>
      </c>
    </row>
    <row r="16" customFormat="false" ht="15.75" hidden="false" customHeight="true" outlineLevel="0" collapsed="false">
      <c r="A16" s="8" t="n">
        <v>0</v>
      </c>
      <c r="B16" s="7" t="s">
        <v>20</v>
      </c>
      <c r="C16" s="7"/>
      <c r="D16" s="7"/>
      <c r="E16" s="9" t="n">
        <f aca="false">COUNTIF(Capabilities!$I$5:$I$53,A16)</f>
        <v>0</v>
      </c>
      <c r="F16" s="9" t="n">
        <f aca="false">COUNTIF(Capabilities!$J$5:$J$53,A16)</f>
        <v>1</v>
      </c>
      <c r="G16" s="9" t="n">
        <f aca="false">COUNTIF(Capabilities!$K$5:$K$53,A16)</f>
        <v>2</v>
      </c>
    </row>
    <row r="17" customFormat="false" ht="15.75" hidden="false" customHeight="true" outlineLevel="0" collapsed="false">
      <c r="A17" s="8" t="n">
        <v>1</v>
      </c>
      <c r="B17" s="7" t="s">
        <v>21</v>
      </c>
      <c r="C17" s="7"/>
      <c r="D17" s="7"/>
      <c r="E17" s="9" t="n">
        <f aca="false">COUNTIF(Capabilities!$I$5:$I$53,A17)</f>
        <v>25</v>
      </c>
      <c r="F17" s="9" t="n">
        <f aca="false">COUNTIF(Capabilities!$J$5:$J$53,A17)</f>
        <v>19</v>
      </c>
      <c r="G17" s="9" t="n">
        <f aca="false">COUNTIF(Capabilities!$K$5:$K$53,A17)</f>
        <v>12</v>
      </c>
    </row>
    <row r="18" customFormat="false" ht="15.75" hidden="false" customHeight="true" outlineLevel="0" collapsed="false">
      <c r="A18" s="8" t="n">
        <v>2</v>
      </c>
      <c r="B18" s="7" t="s">
        <v>22</v>
      </c>
      <c r="C18" s="7"/>
      <c r="D18" s="7"/>
      <c r="E18" s="9" t="n">
        <f aca="false">COUNTIF(Capabilities!$I$5:$I$53,A18)</f>
        <v>11</v>
      </c>
      <c r="F18" s="9" t="n">
        <f aca="false">COUNTIF(Capabilities!$J$5:$J$53,A18)</f>
        <v>16</v>
      </c>
      <c r="G18" s="9" t="n">
        <f aca="false">COUNTIF(Capabilities!$K$5:$K$53,A18)</f>
        <v>19</v>
      </c>
    </row>
    <row r="19" customFormat="false" ht="15.75" hidden="false" customHeight="true" outlineLevel="0" collapsed="false">
      <c r="A19" s="8" t="n">
        <v>3</v>
      </c>
      <c r="B19" s="7" t="s">
        <v>23</v>
      </c>
      <c r="C19" s="7"/>
      <c r="D19" s="7"/>
      <c r="E19" s="9" t="n">
        <f aca="false">COUNTIF(Capabilities!$I$5:$I$53,A19)</f>
        <v>13</v>
      </c>
      <c r="F19" s="9" t="n">
        <f aca="false">COUNTIF(Capabilities!$J$5:$J$53,A19)</f>
        <v>13</v>
      </c>
      <c r="G19" s="9" t="n">
        <f aca="false">COUNTIF(Capabilities!$K$5:$K$53,A19)</f>
        <v>16</v>
      </c>
    </row>
    <row r="21" customFormat="false" ht="19.5" hidden="false" customHeight="true" outlineLevel="0" collapsed="false">
      <c r="A21" s="3" t="s">
        <v>24</v>
      </c>
      <c r="B21" s="3"/>
      <c r="C21" s="3"/>
      <c r="D21" s="3"/>
      <c r="E21" s="3"/>
      <c r="F21" s="3"/>
      <c r="G21" s="3"/>
    </row>
    <row r="22" customFormat="false" ht="15.75" hidden="false" customHeight="true" outlineLevel="0" collapsed="false">
      <c r="A22" s="10" t="s">
        <v>25</v>
      </c>
      <c r="B22" s="11" t="n">
        <f aca="false">ROWS(Domains!$B$5:$B$14)</f>
        <v>10</v>
      </c>
    </row>
    <row r="23" customFormat="false" ht="15.75" hidden="false" customHeight="true" outlineLevel="0" collapsed="false">
      <c r="A23" s="10" t="s">
        <v>26</v>
      </c>
      <c r="B23" s="11" t="n">
        <f aca="false">ROWS(Capabilities!$B$5:$B$53)</f>
        <v>49</v>
      </c>
    </row>
    <row r="24" customFormat="false" ht="28.5" hidden="false" customHeight="true" outlineLevel="0" collapsed="false">
      <c r="A24" s="10" t="s">
        <v>27</v>
      </c>
      <c r="B24" s="11" t="n">
        <f aca="false">COUNTIF(Capabilities!$L$5:$L$53,"&gt;=7")</f>
        <v>11</v>
      </c>
    </row>
    <row r="25" customFormat="false" ht="15.75" hidden="false" customHeight="true" outlineLevel="0" collapsed="false">
      <c r="A25" s="10" t="s">
        <v>28</v>
      </c>
      <c r="B25" s="12" t="n">
        <f aca="false">AVERAGE(Capabilities!$L$5:$L$53)</f>
        <v>5.59183673469388</v>
      </c>
    </row>
    <row r="26" customFormat="false" ht="28.5" hidden="false" customHeight="true" outlineLevel="0" collapsed="false">
      <c r="A26" s="10" t="s">
        <v>29</v>
      </c>
      <c r="B26" s="11" t="n">
        <f aca="false">ROWS(Domains!$R$5:$R$14)-COUNTIF(Domains!$R$5:$R$14,"Not set")</f>
        <v>0</v>
      </c>
    </row>
    <row r="27" customFormat="false" ht="15.75" hidden="false" customHeight="true" outlineLevel="0" collapsed="false">
      <c r="A27" s="10" t="s">
        <v>30</v>
      </c>
      <c r="B27" s="11" t="n">
        <f aca="false">COUNTIF(Domains!$R$5:$R$14,"On target")</f>
        <v>0</v>
      </c>
    </row>
    <row r="29" customFormat="false" ht="19.5" hidden="false" customHeight="true" outlineLevel="0" collapsed="false">
      <c r="A29" s="3" t="s">
        <v>31</v>
      </c>
      <c r="B29" s="3"/>
      <c r="C29" s="3"/>
      <c r="D29" s="3"/>
      <c r="E29" s="3"/>
      <c r="F29" s="3"/>
      <c r="G29" s="3"/>
    </row>
    <row r="30" customFormat="false" ht="30" hidden="false" customHeight="true" outlineLevel="0" collapsed="false">
      <c r="A30" s="5" t="s">
        <v>32</v>
      </c>
      <c r="B30" s="5" t="s">
        <v>33</v>
      </c>
      <c r="C30" s="5" t="s">
        <v>34</v>
      </c>
      <c r="D30" s="5" t="s">
        <v>35</v>
      </c>
      <c r="E30" s="5" t="s">
        <v>36</v>
      </c>
      <c r="F30" s="5" t="s">
        <v>37</v>
      </c>
      <c r="G30" s="5" t="s">
        <v>38</v>
      </c>
    </row>
    <row r="31" customFormat="false" ht="15.75" hidden="false" customHeight="true" outlineLevel="0" collapsed="false">
      <c r="A31" s="10" t="s">
        <v>39</v>
      </c>
      <c r="B31" s="11" t="n">
        <f aca="false">COUNTIFS(Opportunities!$B$5:$B$29,$A31,Opportunities!$G$5:$G$29,"Now")</f>
        <v>7</v>
      </c>
      <c r="C31" s="11" t="n">
        <f aca="false">COUNTIFS(Opportunities!$B$5:$B$29,$A31,Opportunities!$G$5:$G$29,"Next")</f>
        <v>5</v>
      </c>
      <c r="D31" s="11" t="n">
        <f aca="false">COUNTIFS(Opportunities!$B$5:$B$29,$A31,Opportunities!$G$5:$G$29,"Later")</f>
        <v>0</v>
      </c>
      <c r="E31" s="11" t="n">
        <f aca="false">SUM(B31:D31)</f>
        <v>12</v>
      </c>
      <c r="F31" s="11" t="n">
        <f aca="false">COUNTIFS(Opportunities!$B$5:$B$29,$A31,Opportunities!$K$5:$K$29,"Confirmed")</f>
        <v>0</v>
      </c>
      <c r="G31" s="11" t="n">
        <f aca="false">COUNTIFS(Opportunities!$B$5:$B$29,$A31,Opportunities!$K$5:$K$29,"In flight")</f>
        <v>0</v>
      </c>
    </row>
    <row r="32" customFormat="false" ht="15.75" hidden="false" customHeight="true" outlineLevel="0" collapsed="false">
      <c r="A32" s="10" t="s">
        <v>40</v>
      </c>
      <c r="B32" s="11" t="n">
        <f aca="false">COUNTIFS(Opportunities!$B$5:$B$29,$A32,Opportunities!$G$5:$G$29,"Now")</f>
        <v>4</v>
      </c>
      <c r="C32" s="11" t="n">
        <f aca="false">COUNTIFS(Opportunities!$B$5:$B$29,$A32,Opportunities!$G$5:$G$29,"Next")</f>
        <v>6</v>
      </c>
      <c r="D32" s="11" t="n">
        <f aca="false">COUNTIFS(Opportunities!$B$5:$B$29,$A32,Opportunities!$G$5:$G$29,"Later")</f>
        <v>3</v>
      </c>
      <c r="E32" s="11" t="n">
        <f aca="false">SUM(B32:D32)</f>
        <v>13</v>
      </c>
      <c r="F32" s="11" t="n">
        <f aca="false">COUNTIFS(Opportunities!$B$5:$B$29,$A32,Opportunities!$K$5:$K$29,"Confirmed")</f>
        <v>0</v>
      </c>
      <c r="G32" s="11" t="n">
        <f aca="false">COUNTIFS(Opportunities!$B$5:$B$29,$A32,Opportunities!$K$5:$K$29,"In flight")</f>
        <v>0</v>
      </c>
    </row>
    <row r="33" customFormat="false" ht="15.75" hidden="false" customHeight="true" outlineLevel="0" collapsed="false">
      <c r="A33" s="13" t="s">
        <v>41</v>
      </c>
      <c r="B33" s="14" t="n">
        <f aca="false">SUM(B31:B32)</f>
        <v>11</v>
      </c>
      <c r="C33" s="14" t="n">
        <f aca="false">SUM(C31:C32)</f>
        <v>11</v>
      </c>
      <c r="D33" s="14" t="n">
        <f aca="false">SUM(D31:D32)</f>
        <v>3</v>
      </c>
      <c r="E33" s="14" t="n">
        <f aca="false">SUM(E31:E32)</f>
        <v>25</v>
      </c>
      <c r="F33" s="14" t="n">
        <f aca="false">SUM(F31:F32)</f>
        <v>0</v>
      </c>
      <c r="G33" s="14" t="n">
        <f aca="false">SUM(G31:G32)</f>
        <v>0</v>
      </c>
    </row>
    <row r="35" customFormat="false" ht="15.75" hidden="false" customHeight="true" outlineLevel="0" collapsed="false">
      <c r="A35" s="15" t="s">
        <v>42</v>
      </c>
      <c r="B35" s="15"/>
      <c r="C35" s="15"/>
      <c r="D35" s="15"/>
      <c r="E35" s="15"/>
      <c r="F35" s="15"/>
      <c r="G35" s="15"/>
    </row>
  </sheetData>
  <mergeCells count="13">
    <mergeCell ref="A2:G2"/>
    <mergeCell ref="A5:G5"/>
    <mergeCell ref="A6:G6"/>
    <mergeCell ref="B9:G9"/>
    <mergeCell ref="B10:G10"/>
    <mergeCell ref="B11:G11"/>
    <mergeCell ref="B12:G12"/>
    <mergeCell ref="B15:D15"/>
    <mergeCell ref="B16:D16"/>
    <mergeCell ref="B17:D17"/>
    <mergeCell ref="B18:D18"/>
    <mergeCell ref="B19:D19"/>
    <mergeCell ref="A35:G3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R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40"/>
    <col collapsed="false" customWidth="true" hidden="false" outlineLevel="0" max="4" min="4" style="0" width="11"/>
    <col collapsed="false" customWidth="true" hidden="false" outlineLevel="0" max="6" min="5" style="0" width="8"/>
    <col collapsed="false" customWidth="true" hidden="false" outlineLevel="0" max="7" min="7" style="0" width="12"/>
    <col collapsed="false" customWidth="true" hidden="false" outlineLevel="0" max="8" min="8" style="0" width="9"/>
    <col collapsed="false" customWidth="true" hidden="false" outlineLevel="0" max="9" min="9" style="0" width="24"/>
    <col collapsed="false" customWidth="true" hidden="false" outlineLevel="0" max="10" min="10" style="0" width="28"/>
    <col collapsed="false" customWidth="true" hidden="false" outlineLevel="0" max="11" min="11" style="0" width="11"/>
    <col collapsed="false" customWidth="true" hidden="false" outlineLevel="0" max="12" min="12" style="0" width="18"/>
    <col collapsed="false" customWidth="true" hidden="false" outlineLevel="0" max="13" min="13" style="0" width="40"/>
    <col collapsed="false" customWidth="true" hidden="false" outlineLevel="0" max="14" min="14" style="0" width="46"/>
    <col collapsed="false" customWidth="true" hidden="false" outlineLevel="0" max="15" min="15" style="0" width="34"/>
    <col collapsed="false" customWidth="true" hidden="false" outlineLevel="0" max="17" min="16" style="0" width="11"/>
    <col collapsed="false" customWidth="true" hidden="false" outlineLevel="0" max="18" min="18" style="0" width="12"/>
  </cols>
  <sheetData>
    <row r="1" customFormat="false" ht="24" hidden="false" customHeight="true" outlineLevel="0" collapsed="false">
      <c r="A1" s="1" t="s">
        <v>43</v>
      </c>
    </row>
    <row r="2" customFormat="false" ht="30" hidden="false" customHeight="true" outlineLevel="0" collapsed="false">
      <c r="A2" s="2" t="s">
        <v>44</v>
      </c>
      <c r="B2" s="2"/>
      <c r="C2" s="2"/>
      <c r="D2" s="2"/>
      <c r="E2" s="2"/>
      <c r="F2" s="2"/>
      <c r="G2" s="2"/>
      <c r="H2" s="2"/>
      <c r="I2" s="2"/>
      <c r="J2" s="2"/>
      <c r="K2" s="2"/>
      <c r="L2" s="2"/>
      <c r="M2" s="2"/>
      <c r="N2" s="2"/>
      <c r="O2" s="2"/>
      <c r="P2" s="2"/>
      <c r="Q2" s="2"/>
      <c r="R2" s="2"/>
    </row>
    <row r="4" customFormat="false" ht="30" hidden="false" customHeight="true" outlineLevel="0" collapsed="false">
      <c r="A4" s="5" t="s">
        <v>45</v>
      </c>
      <c r="B4" s="5" t="s">
        <v>46</v>
      </c>
      <c r="C4" s="5" t="s">
        <v>47</v>
      </c>
      <c r="D4" s="5" t="s">
        <v>26</v>
      </c>
      <c r="E4" s="5" t="s">
        <v>48</v>
      </c>
      <c r="F4" s="5" t="s">
        <v>49</v>
      </c>
      <c r="G4" s="5" t="s">
        <v>50</v>
      </c>
      <c r="H4" s="5" t="s">
        <v>51</v>
      </c>
      <c r="I4" s="5" t="s">
        <v>52</v>
      </c>
      <c r="J4" s="5" t="s">
        <v>53</v>
      </c>
      <c r="K4" s="5" t="s">
        <v>54</v>
      </c>
      <c r="L4" s="5" t="s">
        <v>55</v>
      </c>
      <c r="M4" s="5" t="s">
        <v>56</v>
      </c>
      <c r="N4" s="5" t="s">
        <v>57</v>
      </c>
      <c r="O4" s="5" t="s">
        <v>58</v>
      </c>
      <c r="P4" s="5" t="s">
        <v>59</v>
      </c>
      <c r="Q4" s="5" t="s">
        <v>60</v>
      </c>
      <c r="R4" s="5" t="s">
        <v>61</v>
      </c>
    </row>
    <row r="5" customFormat="false" ht="41.25" hidden="false" customHeight="true" outlineLevel="0" collapsed="false">
      <c r="A5" s="16" t="n">
        <v>1</v>
      </c>
      <c r="B5" s="6" t="s">
        <v>62</v>
      </c>
      <c r="C5" s="7" t="s">
        <v>63</v>
      </c>
      <c r="D5" s="9" t="n">
        <f aca="false">COUNTIF(Capabilities!$B$5:$B$53,B5)</f>
        <v>6</v>
      </c>
      <c r="E5" s="17" t="n">
        <f aca="false">AVERAGEIF(Capabilities!$B$5:$B$53,B5,Capabilities!$I$5:$I$53)</f>
        <v>1.33333333333333</v>
      </c>
      <c r="F5" s="17" t="n">
        <f aca="false">AVERAGEIF(Capabilities!$B$5:$B$53,B5,Capabilities!$J$5:$J$53)</f>
        <v>1.66666666666667</v>
      </c>
      <c r="G5" s="17" t="n">
        <f aca="false">AVERAGEIF(Capabilities!$B$5:$B$53,B5,Capabilities!$K$5:$K$53)</f>
        <v>2.33333333333333</v>
      </c>
      <c r="H5" s="17" t="n">
        <f aca="false">AVERAGEIF(Capabilities!$B$5:$B$53,B5,Capabilities!$L$5:$L$53)</f>
        <v>5.33333333333333</v>
      </c>
      <c r="I5" s="16" t="str">
        <f aca="false">IF(E5=MAX(E5:G5),"AI",IF(F5=MAX(E5:G5),"Ledgers and tokenization","Instruments and market structure"))</f>
        <v>Instruments and market structure</v>
      </c>
      <c r="J5" s="6" t="s">
        <v>64</v>
      </c>
      <c r="K5" s="16" t="s">
        <v>65</v>
      </c>
      <c r="L5" s="16" t="s">
        <v>66</v>
      </c>
      <c r="M5" s="7" t="s">
        <v>67</v>
      </c>
      <c r="N5" s="7" t="s">
        <v>68</v>
      </c>
      <c r="O5" s="7" t="s">
        <v>69</v>
      </c>
      <c r="P5" s="18"/>
      <c r="Q5" s="18"/>
      <c r="R5" s="19" t="str">
        <f aca="false">IF(OR(P5="",Q5=""),"Not set",IF(K5="Higher",IF(P5&gt;=Q5,"On target",IF(P5&gt;=0.9*Q5,"Watch","Off target")),IF(P5&lt;=Q5,"On target",IF(P5&lt;=1.1*Q5,"Watch","Off target"))))</f>
        <v>Not set</v>
      </c>
    </row>
    <row r="6" customFormat="false" ht="54" hidden="false" customHeight="true" outlineLevel="0" collapsed="false">
      <c r="A6" s="16" t="n">
        <v>2</v>
      </c>
      <c r="B6" s="6" t="s">
        <v>70</v>
      </c>
      <c r="C6" s="7" t="s">
        <v>71</v>
      </c>
      <c r="D6" s="9" t="n">
        <f aca="false">COUNTIF(Capabilities!$B$5:$B$53,B6)</f>
        <v>5</v>
      </c>
      <c r="E6" s="17" t="n">
        <f aca="false">AVERAGEIF(Capabilities!$B$5:$B$53,B6,Capabilities!$I$5:$I$53)</f>
        <v>1.6</v>
      </c>
      <c r="F6" s="17" t="n">
        <f aca="false">AVERAGEIF(Capabilities!$B$5:$B$53,B6,Capabilities!$J$5:$J$53)</f>
        <v>1.4</v>
      </c>
      <c r="G6" s="17" t="n">
        <f aca="false">AVERAGEIF(Capabilities!$B$5:$B$53,B6,Capabilities!$K$5:$K$53)</f>
        <v>2</v>
      </c>
      <c r="H6" s="17" t="n">
        <f aca="false">AVERAGEIF(Capabilities!$B$5:$B$53,B6,Capabilities!$L$5:$L$53)</f>
        <v>5</v>
      </c>
      <c r="I6" s="16" t="str">
        <f aca="false">IF(E6=MAX(E6:G6),"AI",IF(F6=MAX(E6:G6),"Ledgers and tokenization","Instruments and market structure"))</f>
        <v>Instruments and market structure</v>
      </c>
      <c r="J6" s="6" t="s">
        <v>72</v>
      </c>
      <c r="K6" s="16" t="s">
        <v>65</v>
      </c>
      <c r="L6" s="16" t="s">
        <v>73</v>
      </c>
      <c r="M6" s="7" t="s">
        <v>74</v>
      </c>
      <c r="N6" s="7" t="s">
        <v>75</v>
      </c>
      <c r="O6" s="7" t="s">
        <v>76</v>
      </c>
      <c r="P6" s="18"/>
      <c r="Q6" s="18"/>
      <c r="R6" s="19" t="str">
        <f aca="false">IF(OR(P6="",Q6=""),"Not set",IF(K6="Higher",IF(P6&gt;=Q6,"On target",IF(P6&gt;=0.9*Q6,"Watch","Off target")),IF(P6&lt;=Q6,"On target",IF(P6&lt;=1.1*Q6,"Watch","Off target"))))</f>
        <v>Not set</v>
      </c>
    </row>
    <row r="7" customFormat="false" ht="30" hidden="false" customHeight="true" outlineLevel="0" collapsed="false">
      <c r="A7" s="16" t="n">
        <v>3</v>
      </c>
      <c r="B7" s="6" t="s">
        <v>77</v>
      </c>
      <c r="C7" s="7" t="s">
        <v>78</v>
      </c>
      <c r="D7" s="9" t="n">
        <f aca="false">COUNTIF(Capabilities!$B$5:$B$53,B7)</f>
        <v>4</v>
      </c>
      <c r="E7" s="17" t="n">
        <f aca="false">AVERAGEIF(Capabilities!$B$5:$B$53,B7,Capabilities!$I$5:$I$53)</f>
        <v>2.25</v>
      </c>
      <c r="F7" s="17" t="n">
        <f aca="false">AVERAGEIF(Capabilities!$B$5:$B$53,B7,Capabilities!$J$5:$J$53)</f>
        <v>1.75</v>
      </c>
      <c r="G7" s="17" t="n">
        <f aca="false">AVERAGEIF(Capabilities!$B$5:$B$53,B7,Capabilities!$K$5:$K$53)</f>
        <v>1.5</v>
      </c>
      <c r="H7" s="17" t="n">
        <f aca="false">AVERAGEIF(Capabilities!$B$5:$B$53,B7,Capabilities!$L$5:$L$53)</f>
        <v>5.5</v>
      </c>
      <c r="I7" s="16" t="str">
        <f aca="false">IF(E7=MAX(E7:G7),"AI",IF(F7=MAX(E7:G7),"Ledgers and tokenization","Instruments and market structure"))</f>
        <v>AI</v>
      </c>
      <c r="J7" s="6" t="s">
        <v>79</v>
      </c>
      <c r="K7" s="16" t="s">
        <v>65</v>
      </c>
      <c r="L7" s="16" t="s">
        <v>73</v>
      </c>
      <c r="M7" s="7" t="s">
        <v>80</v>
      </c>
      <c r="N7" s="7" t="s">
        <v>81</v>
      </c>
      <c r="O7" s="7" t="s">
        <v>82</v>
      </c>
      <c r="P7" s="18"/>
      <c r="Q7" s="18"/>
      <c r="R7" s="19" t="str">
        <f aca="false">IF(OR(P7="",Q7=""),"Not set",IF(K7="Higher",IF(P7&gt;=Q7,"On target",IF(P7&gt;=0.9*Q7,"Watch","Off target")),IF(P7&lt;=Q7,"On target",IF(P7&lt;=1.1*Q7,"Watch","Off target"))))</f>
        <v>Not set</v>
      </c>
    </row>
    <row r="8" customFormat="false" ht="41.25" hidden="false" customHeight="true" outlineLevel="0" collapsed="false">
      <c r="A8" s="16" t="n">
        <v>4</v>
      </c>
      <c r="B8" s="6" t="s">
        <v>83</v>
      </c>
      <c r="C8" s="7" t="s">
        <v>84</v>
      </c>
      <c r="D8" s="9" t="n">
        <f aca="false">COUNTIF(Capabilities!$B$5:$B$53,B8)</f>
        <v>4</v>
      </c>
      <c r="E8" s="17" t="n">
        <f aca="false">AVERAGEIF(Capabilities!$B$5:$B$53,B8,Capabilities!$I$5:$I$53)</f>
        <v>2.25</v>
      </c>
      <c r="F8" s="17" t="n">
        <f aca="false">AVERAGEIF(Capabilities!$B$5:$B$53,B8,Capabilities!$J$5:$J$53)</f>
        <v>2.5</v>
      </c>
      <c r="G8" s="17" t="n">
        <f aca="false">AVERAGEIF(Capabilities!$B$5:$B$53,B8,Capabilities!$K$5:$K$53)</f>
        <v>2.25</v>
      </c>
      <c r="H8" s="17" t="n">
        <f aca="false">AVERAGEIF(Capabilities!$B$5:$B$53,B8,Capabilities!$L$5:$L$53)</f>
        <v>7</v>
      </c>
      <c r="I8" s="16" t="str">
        <f aca="false">IF(E8=MAX(E8:G8),"AI",IF(F8=MAX(E8:G8),"Ledgers and tokenization","Instruments and market structure"))</f>
        <v>Ledgers and tokenization</v>
      </c>
      <c r="J8" s="6" t="s">
        <v>85</v>
      </c>
      <c r="K8" s="16" t="s">
        <v>86</v>
      </c>
      <c r="L8" s="16" t="s">
        <v>73</v>
      </c>
      <c r="M8" s="7" t="s">
        <v>87</v>
      </c>
      <c r="N8" s="7" t="s">
        <v>88</v>
      </c>
      <c r="O8" s="7" t="s">
        <v>89</v>
      </c>
      <c r="P8" s="18"/>
      <c r="Q8" s="18"/>
      <c r="R8" s="19" t="str">
        <f aca="false">IF(OR(P8="",Q8=""),"Not set",IF(K8="Higher",IF(P8&gt;=Q8,"On target",IF(P8&gt;=0.9*Q8,"Watch","Off target")),IF(P8&lt;=Q8,"On target",IF(P8&lt;=1.1*Q8,"Watch","Off target"))))</f>
        <v>Not set</v>
      </c>
    </row>
    <row r="9" customFormat="false" ht="41.25" hidden="false" customHeight="true" outlineLevel="0" collapsed="false">
      <c r="A9" s="16" t="n">
        <v>5</v>
      </c>
      <c r="B9" s="6" t="s">
        <v>90</v>
      </c>
      <c r="C9" s="7" t="s">
        <v>91</v>
      </c>
      <c r="D9" s="9" t="n">
        <f aca="false">COUNTIF(Capabilities!$B$5:$B$53,B9)</f>
        <v>4</v>
      </c>
      <c r="E9" s="17" t="n">
        <f aca="false">AVERAGEIF(Capabilities!$B$5:$B$53,B9,Capabilities!$I$5:$I$53)</f>
        <v>1.25</v>
      </c>
      <c r="F9" s="17" t="n">
        <f aca="false">AVERAGEIF(Capabilities!$B$5:$B$53,B9,Capabilities!$J$5:$J$53)</f>
        <v>1.25</v>
      </c>
      <c r="G9" s="17" t="n">
        <f aca="false">AVERAGEIF(Capabilities!$B$5:$B$53,B9,Capabilities!$K$5:$K$53)</f>
        <v>2.5</v>
      </c>
      <c r="H9" s="17" t="n">
        <f aca="false">AVERAGEIF(Capabilities!$B$5:$B$53,B9,Capabilities!$L$5:$L$53)</f>
        <v>5</v>
      </c>
      <c r="I9" s="16" t="str">
        <f aca="false">IF(E9=MAX(E9:G9),"AI",IF(F9=MAX(E9:G9),"Ledgers and tokenization","Instruments and market structure"))</f>
        <v>Instruments and market structure</v>
      </c>
      <c r="J9" s="6" t="s">
        <v>92</v>
      </c>
      <c r="K9" s="16" t="s">
        <v>65</v>
      </c>
      <c r="L9" s="16" t="s">
        <v>93</v>
      </c>
      <c r="M9" s="7" t="s">
        <v>94</v>
      </c>
      <c r="N9" s="7" t="s">
        <v>95</v>
      </c>
      <c r="O9" s="7" t="s">
        <v>96</v>
      </c>
      <c r="P9" s="18"/>
      <c r="Q9" s="18"/>
      <c r="R9" s="19" t="str">
        <f aca="false">IF(OR(P9="",Q9=""),"Not set",IF(K9="Higher",IF(P9&gt;=Q9,"On target",IF(P9&gt;=0.9*Q9,"Watch","Off target")),IF(P9&lt;=Q9,"On target",IF(P9&lt;=1.1*Q9,"Watch","Off target"))))</f>
        <v>Not set</v>
      </c>
    </row>
    <row r="10" customFormat="false" ht="54" hidden="false" customHeight="true" outlineLevel="0" collapsed="false">
      <c r="A10" s="16" t="n">
        <v>6</v>
      </c>
      <c r="B10" s="6" t="s">
        <v>97</v>
      </c>
      <c r="C10" s="7" t="s">
        <v>98</v>
      </c>
      <c r="D10" s="9" t="n">
        <f aca="false">COUNTIF(Capabilities!$B$5:$B$53,B10)</f>
        <v>4</v>
      </c>
      <c r="E10" s="17" t="n">
        <f aca="false">AVERAGEIF(Capabilities!$B$5:$B$53,B10,Capabilities!$I$5:$I$53)</f>
        <v>1.75</v>
      </c>
      <c r="F10" s="17" t="n">
        <f aca="false">AVERAGEIF(Capabilities!$B$5:$B$53,B10,Capabilities!$J$5:$J$53)</f>
        <v>1.25</v>
      </c>
      <c r="G10" s="17" t="n">
        <f aca="false">AVERAGEIF(Capabilities!$B$5:$B$53,B10,Capabilities!$K$5:$K$53)</f>
        <v>1.25</v>
      </c>
      <c r="H10" s="17" t="n">
        <f aca="false">AVERAGEIF(Capabilities!$B$5:$B$53,B10,Capabilities!$L$5:$L$53)</f>
        <v>4.25</v>
      </c>
      <c r="I10" s="16" t="str">
        <f aca="false">IF(E10=MAX(E10:G10),"AI",IF(F10=MAX(E10:G10),"Ledgers and tokenization","Instruments and market structure"))</f>
        <v>AI</v>
      </c>
      <c r="J10" s="6" t="s">
        <v>99</v>
      </c>
      <c r="K10" s="16" t="s">
        <v>86</v>
      </c>
      <c r="L10" s="16" t="s">
        <v>93</v>
      </c>
      <c r="M10" s="7" t="s">
        <v>100</v>
      </c>
      <c r="N10" s="7" t="s">
        <v>101</v>
      </c>
      <c r="O10" s="7" t="s">
        <v>102</v>
      </c>
      <c r="P10" s="18"/>
      <c r="Q10" s="18"/>
      <c r="R10" s="19" t="str">
        <f aca="false">IF(OR(P10="",Q10=""),"Not set",IF(K10="Higher",IF(P10&gt;=Q10,"On target",IF(P10&gt;=0.9*Q10,"Watch","Off target")),IF(P10&lt;=Q10,"On target",IF(P10&lt;=1.1*Q10,"Watch","Off target"))))</f>
        <v>Not set</v>
      </c>
    </row>
    <row r="11" customFormat="false" ht="54" hidden="false" customHeight="true" outlineLevel="0" collapsed="false">
      <c r="A11" s="16" t="n">
        <v>7</v>
      </c>
      <c r="B11" s="6" t="s">
        <v>103</v>
      </c>
      <c r="C11" s="7" t="s">
        <v>104</v>
      </c>
      <c r="D11" s="9" t="n">
        <f aca="false">COUNTIF(Capabilities!$B$5:$B$53,B11)</f>
        <v>6</v>
      </c>
      <c r="E11" s="17" t="n">
        <f aca="false">AVERAGEIF(Capabilities!$B$5:$B$53,B11,Capabilities!$I$5:$I$53)</f>
        <v>2</v>
      </c>
      <c r="F11" s="17" t="n">
        <f aca="false">AVERAGEIF(Capabilities!$B$5:$B$53,B11,Capabilities!$J$5:$J$53)</f>
        <v>1.83333333333333</v>
      </c>
      <c r="G11" s="17" t="n">
        <f aca="false">AVERAGEIF(Capabilities!$B$5:$B$53,B11,Capabilities!$K$5:$K$53)</f>
        <v>2.33333333333333</v>
      </c>
      <c r="H11" s="17" t="n">
        <f aca="false">AVERAGEIF(Capabilities!$B$5:$B$53,B11,Capabilities!$L$5:$L$53)</f>
        <v>6.16666666666667</v>
      </c>
      <c r="I11" s="16" t="str">
        <f aca="false">IF(E11=MAX(E11:G11),"AI",IF(F11=MAX(E11:G11),"Ledgers and tokenization","Instruments and market structure"))</f>
        <v>Instruments and market structure</v>
      </c>
      <c r="J11" s="6" t="s">
        <v>105</v>
      </c>
      <c r="K11" s="16" t="s">
        <v>65</v>
      </c>
      <c r="L11" s="16" t="s">
        <v>106</v>
      </c>
      <c r="M11" s="7" t="s">
        <v>107</v>
      </c>
      <c r="N11" s="7" t="s">
        <v>108</v>
      </c>
      <c r="O11" s="7" t="s">
        <v>109</v>
      </c>
      <c r="P11" s="18"/>
      <c r="Q11" s="18"/>
      <c r="R11" s="19" t="str">
        <f aca="false">IF(OR(P11="",Q11=""),"Not set",IF(K11="Higher",IF(P11&gt;=Q11,"On target",IF(P11&gt;=0.9*Q11,"Watch","Off target")),IF(P11&lt;=Q11,"On target",IF(P11&lt;=1.1*Q11,"Watch","Off target"))))</f>
        <v>Not set</v>
      </c>
    </row>
    <row r="12" customFormat="false" ht="54" hidden="false" customHeight="true" outlineLevel="0" collapsed="false">
      <c r="A12" s="16" t="n">
        <v>8</v>
      </c>
      <c r="B12" s="6" t="s">
        <v>110</v>
      </c>
      <c r="C12" s="7" t="s">
        <v>111</v>
      </c>
      <c r="D12" s="9" t="n">
        <f aca="false">COUNTIF(Capabilities!$B$5:$B$53,B12)</f>
        <v>6</v>
      </c>
      <c r="E12" s="17" t="n">
        <f aca="false">AVERAGEIF(Capabilities!$B$5:$B$53,B12,Capabilities!$I$5:$I$53)</f>
        <v>2.83333333333333</v>
      </c>
      <c r="F12" s="17" t="n">
        <f aca="false">AVERAGEIF(Capabilities!$B$5:$B$53,B12,Capabilities!$J$5:$J$53)</f>
        <v>1.5</v>
      </c>
      <c r="G12" s="17" t="n">
        <f aca="false">AVERAGEIF(Capabilities!$B$5:$B$53,B12,Capabilities!$K$5:$K$53)</f>
        <v>1.16666666666667</v>
      </c>
      <c r="H12" s="17" t="n">
        <f aca="false">AVERAGEIF(Capabilities!$B$5:$B$53,B12,Capabilities!$L$5:$L$53)</f>
        <v>5.5</v>
      </c>
      <c r="I12" s="16" t="str">
        <f aca="false">IF(E12=MAX(E12:G12),"AI",IF(F12=MAX(E12:G12),"Ledgers and tokenization","Instruments and market structure"))</f>
        <v>AI</v>
      </c>
      <c r="J12" s="6" t="s">
        <v>112</v>
      </c>
      <c r="K12" s="16" t="s">
        <v>65</v>
      </c>
      <c r="L12" s="16" t="s">
        <v>93</v>
      </c>
      <c r="M12" s="7" t="s">
        <v>113</v>
      </c>
      <c r="N12" s="7" t="s">
        <v>114</v>
      </c>
      <c r="O12" s="7" t="s">
        <v>115</v>
      </c>
      <c r="P12" s="18"/>
      <c r="Q12" s="18"/>
      <c r="R12" s="19" t="str">
        <f aca="false">IF(OR(P12="",Q12=""),"Not set",IF(K12="Higher",IF(P12&gt;=Q12,"On target",IF(P12&gt;=0.9*Q12,"Watch","Off target")),IF(P12&lt;=Q12,"On target",IF(P12&lt;=1.1*Q12,"Watch","Off target"))))</f>
        <v>Not set</v>
      </c>
    </row>
    <row r="13" customFormat="false" ht="54" hidden="false" customHeight="true" outlineLevel="0" collapsed="false">
      <c r="A13" s="16" t="n">
        <v>9</v>
      </c>
      <c r="B13" s="6" t="s">
        <v>116</v>
      </c>
      <c r="C13" s="7" t="s">
        <v>117</v>
      </c>
      <c r="D13" s="9" t="n">
        <f aca="false">COUNTIF(Capabilities!$B$5:$B$53,B13)</f>
        <v>4</v>
      </c>
      <c r="E13" s="17" t="n">
        <f aca="false">AVERAGEIF(Capabilities!$B$5:$B$53,B13,Capabilities!$I$5:$I$53)</f>
        <v>1</v>
      </c>
      <c r="F13" s="17" t="n">
        <f aca="false">AVERAGEIF(Capabilities!$B$5:$B$53,B13,Capabilities!$J$5:$J$53)</f>
        <v>2.25</v>
      </c>
      <c r="G13" s="17" t="n">
        <f aca="false">AVERAGEIF(Capabilities!$B$5:$B$53,B13,Capabilities!$K$5:$K$53)</f>
        <v>2.5</v>
      </c>
      <c r="H13" s="17" t="n">
        <f aca="false">AVERAGEIF(Capabilities!$B$5:$B$53,B13,Capabilities!$L$5:$L$53)</f>
        <v>5.75</v>
      </c>
      <c r="I13" s="16" t="str">
        <f aca="false">IF(E13=MAX(E13:G13),"AI",IF(F13=MAX(E13:G13),"Ledgers and tokenization","Instruments and market structure"))</f>
        <v>Instruments and market structure</v>
      </c>
      <c r="J13" s="6" t="s">
        <v>118</v>
      </c>
      <c r="K13" s="16" t="s">
        <v>65</v>
      </c>
      <c r="L13" s="16" t="s">
        <v>93</v>
      </c>
      <c r="M13" s="7" t="s">
        <v>119</v>
      </c>
      <c r="N13" s="7" t="s">
        <v>120</v>
      </c>
      <c r="O13" s="7" t="s">
        <v>121</v>
      </c>
      <c r="P13" s="18"/>
      <c r="Q13" s="18"/>
      <c r="R13" s="19" t="str">
        <f aca="false">IF(OR(P13="",Q13=""),"Not set",IF(K13="Higher",IF(P13&gt;=Q13,"On target",IF(P13&gt;=0.9*Q13,"Watch","Off target")),IF(P13&lt;=Q13,"On target",IF(P13&lt;=1.1*Q13,"Watch","Off target"))))</f>
        <v>Not set</v>
      </c>
    </row>
    <row r="14" customFormat="false" ht="41.25" hidden="false" customHeight="true" outlineLevel="0" collapsed="false">
      <c r="A14" s="16" t="n">
        <v>10</v>
      </c>
      <c r="B14" s="6" t="s">
        <v>122</v>
      </c>
      <c r="C14" s="7" t="s">
        <v>123</v>
      </c>
      <c r="D14" s="9" t="n">
        <f aca="false">COUNTIF(Capabilities!$B$5:$B$53,B14)</f>
        <v>6</v>
      </c>
      <c r="E14" s="17" t="n">
        <f aca="false">AVERAGEIF(Capabilities!$B$5:$B$53,B14,Capabilities!$I$5:$I$53)</f>
        <v>1.16666666666667</v>
      </c>
      <c r="F14" s="17" t="n">
        <f aca="false">AVERAGEIF(Capabilities!$B$5:$B$53,B14,Capabilities!$J$5:$J$53)</f>
        <v>2.83333333333333</v>
      </c>
      <c r="G14" s="17" t="n">
        <f aca="false">AVERAGEIF(Capabilities!$B$5:$B$53,B14,Capabilities!$K$5:$K$53)</f>
        <v>2.16666666666667</v>
      </c>
      <c r="H14" s="17" t="n">
        <f aca="false">AVERAGEIF(Capabilities!$B$5:$B$53,B14,Capabilities!$L$5:$L$53)</f>
        <v>6.16666666666667</v>
      </c>
      <c r="I14" s="16" t="str">
        <f aca="false">IF(E14=MAX(E14:G14),"AI",IF(F14=MAX(E14:G14),"Ledgers and tokenization","Instruments and market structure"))</f>
        <v>Ledgers and tokenization</v>
      </c>
      <c r="J14" s="6" t="s">
        <v>124</v>
      </c>
      <c r="K14" s="16" t="s">
        <v>65</v>
      </c>
      <c r="L14" s="16" t="s">
        <v>125</v>
      </c>
      <c r="M14" s="7" t="s">
        <v>126</v>
      </c>
      <c r="N14" s="7" t="s">
        <v>127</v>
      </c>
      <c r="O14" s="7" t="s">
        <v>128</v>
      </c>
      <c r="P14" s="18"/>
      <c r="Q14" s="18"/>
      <c r="R14" s="19" t="str">
        <f aca="false">IF(OR(P14="",Q14=""),"Not set",IF(K14="Higher",IF(P14&gt;=Q14,"On target",IF(P14&gt;=0.9*Q14,"Watch","Off target")),IF(P14&lt;=Q14,"On target",IF(P14&lt;=1.1*Q14,"Watch","Off target"))))</f>
        <v>Not set</v>
      </c>
    </row>
    <row r="15" customFormat="false" ht="15.75" hidden="false" customHeight="true" outlineLevel="0" collapsed="false">
      <c r="A15" s="13"/>
      <c r="B15" s="13" t="s">
        <v>129</v>
      </c>
      <c r="C15" s="13"/>
      <c r="D15" s="14" t="n">
        <f aca="false">SUM(D5:D14)</f>
        <v>49</v>
      </c>
      <c r="E15" s="20" t="n">
        <f aca="false">AVERAGE(Capabilities!$I$5:$I$53)</f>
        <v>1.75510204081633</v>
      </c>
      <c r="F15" s="20" t="n">
        <f aca="false">AVERAGE(Capabilities!$J$5:$J$53)</f>
        <v>1.83673469387755</v>
      </c>
      <c r="G15" s="20" t="n">
        <f aca="false">AVERAGE(Capabilities!$K$5:$K$53)</f>
        <v>2</v>
      </c>
      <c r="H15" s="20" t="n">
        <f aca="false">AVERAGE(Capabilities!$L$5:$L$53)</f>
        <v>5.59183673469388</v>
      </c>
    </row>
    <row r="17" customFormat="false" ht="15.75" hidden="false" customHeight="true" outlineLevel="0" collapsed="false">
      <c r="A17" s="15" t="s">
        <v>130</v>
      </c>
      <c r="B17" s="15"/>
      <c r="C17" s="15"/>
      <c r="D17" s="15"/>
      <c r="E17" s="15"/>
      <c r="F17" s="15"/>
      <c r="G17" s="15"/>
      <c r="H17" s="15"/>
      <c r="I17" s="15"/>
      <c r="J17" s="15"/>
      <c r="K17" s="15"/>
      <c r="L17" s="15"/>
      <c r="M17" s="15"/>
      <c r="N17" s="15"/>
      <c r="O17" s="15"/>
      <c r="P17" s="15"/>
      <c r="Q17" s="15"/>
      <c r="R17" s="15"/>
    </row>
  </sheetData>
  <mergeCells count="2">
    <mergeCell ref="A2:R2"/>
    <mergeCell ref="A17:R17"/>
  </mergeCells>
  <conditionalFormatting sqref="E5:G15">
    <cfRule type="colorScale" priority="2">
      <colorScale>
        <cfvo type="num" val="0"/>
        <cfvo type="num" val="3"/>
        <color rgb="FFFFFFFF"/>
        <color rgb="FF8EA9C1"/>
      </colorScale>
    </cfRule>
  </conditionalFormatting>
  <conditionalFormatting sqref="R5:R14">
    <cfRule type="cellIs" priority="3" operator="equal" aboveAverage="0" equalAverage="0" bottom="0" percent="0" rank="0" text="" dxfId="0">
      <formula>"On target"</formula>
    </cfRule>
    <cfRule type="cellIs" priority="4" operator="equal" aboveAverage="0" equalAverage="0" bottom="0" percent="0" rank="0" text="" dxfId="1">
      <formula>"Watch"</formula>
    </cfRule>
    <cfRule type="cellIs" priority="5" operator="equal" aboveAverage="0" equalAverage="0" bottom="0" percent="0" rank="0" text="" dxfId="2">
      <formula>"Off target"</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O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30"/>
    <col collapsed="false" customWidth="true" hidden="false" outlineLevel="0" max="5" min="4" style="0" width="40"/>
    <col collapsed="false" customWidth="true" hidden="false" outlineLevel="0" max="8" min="6" style="0" width="38"/>
    <col collapsed="false" customWidth="true" hidden="false" outlineLevel="0" max="10" min="9" style="0" width="8"/>
    <col collapsed="false" customWidth="true" hidden="false" outlineLevel="0" max="11" min="11" style="0" width="12"/>
    <col collapsed="false" customWidth="true" hidden="false" outlineLevel="0" max="12" min="12" style="0" width="9"/>
    <col collapsed="false" customWidth="true" hidden="false" outlineLevel="0" max="13" min="13" style="0" width="22"/>
    <col collapsed="false" customWidth="true" hidden="false" outlineLevel="0" max="15" min="14" style="0" width="30"/>
  </cols>
  <sheetData>
    <row r="1" customFormat="false" ht="24" hidden="false" customHeight="true" outlineLevel="0" collapsed="false">
      <c r="A1" s="1" t="s">
        <v>131</v>
      </c>
    </row>
    <row r="2" customFormat="false" ht="30" hidden="false" customHeight="true" outlineLevel="0" collapsed="false">
      <c r="A2" s="2" t="s">
        <v>132</v>
      </c>
      <c r="B2" s="2"/>
      <c r="C2" s="2"/>
      <c r="D2" s="2"/>
      <c r="E2" s="2"/>
      <c r="F2" s="2"/>
      <c r="G2" s="2"/>
      <c r="H2" s="2"/>
      <c r="I2" s="2"/>
      <c r="J2" s="2"/>
      <c r="K2" s="2"/>
      <c r="L2" s="2"/>
      <c r="M2" s="2"/>
      <c r="N2" s="2"/>
      <c r="O2" s="2"/>
    </row>
    <row r="4" customFormat="false" ht="30" hidden="false" customHeight="true" outlineLevel="0" collapsed="false">
      <c r="A4" s="5" t="s">
        <v>133</v>
      </c>
      <c r="B4" s="5" t="s">
        <v>46</v>
      </c>
      <c r="C4" s="5" t="s">
        <v>134</v>
      </c>
      <c r="D4" s="5" t="s">
        <v>135</v>
      </c>
      <c r="E4" s="5" t="s">
        <v>136</v>
      </c>
      <c r="F4" s="5" t="s">
        <v>137</v>
      </c>
      <c r="G4" s="5" t="s">
        <v>138</v>
      </c>
      <c r="H4" s="5" t="s">
        <v>139</v>
      </c>
      <c r="I4" s="5" t="s">
        <v>140</v>
      </c>
      <c r="J4" s="5" t="s">
        <v>141</v>
      </c>
      <c r="K4" s="5" t="s">
        <v>142</v>
      </c>
      <c r="L4" s="5" t="s">
        <v>143</v>
      </c>
      <c r="M4" s="5" t="s">
        <v>52</v>
      </c>
      <c r="N4" s="5" t="s">
        <v>144</v>
      </c>
      <c r="O4" s="5" t="s">
        <v>145</v>
      </c>
    </row>
    <row r="5" customFormat="false" ht="66.75" hidden="false" customHeight="true" outlineLevel="0" collapsed="false">
      <c r="A5" s="16" t="s">
        <v>146</v>
      </c>
      <c r="B5" s="7" t="s">
        <v>62</v>
      </c>
      <c r="C5" s="6" t="s">
        <v>147</v>
      </c>
      <c r="D5" s="7" t="s">
        <v>148</v>
      </c>
      <c r="E5" s="7" t="s">
        <v>149</v>
      </c>
      <c r="F5" s="7" t="s">
        <v>150</v>
      </c>
      <c r="G5" s="7" t="s">
        <v>151</v>
      </c>
      <c r="H5" s="7" t="s">
        <v>152</v>
      </c>
      <c r="I5" s="21" t="n">
        <v>1</v>
      </c>
      <c r="J5" s="21" t="n">
        <v>2</v>
      </c>
      <c r="K5" s="21" t="n">
        <v>3</v>
      </c>
      <c r="L5" s="19" t="n">
        <f aca="false">SUM(I5:K5)</f>
        <v>6</v>
      </c>
      <c r="M5" s="16" t="str">
        <f aca="false">IF(MAX(I5:K5)=0,"—",IF(COUNTIF(I5:K5,MAX(I5:K5))&gt;1,"Mixed",IF(I5=MAX(I5:K5),"AI",IF(J5=MAX(I5:K5),"Ledgers and tokenization","Instruments and market structure"))))</f>
        <v>Instruments and market structure</v>
      </c>
      <c r="N5" s="7" t="s">
        <v>153</v>
      </c>
      <c r="O5" s="7" t="s">
        <v>154</v>
      </c>
    </row>
    <row r="6" customFormat="false" ht="41.25" hidden="false" customHeight="true" outlineLevel="0" collapsed="false">
      <c r="A6" s="16" t="s">
        <v>155</v>
      </c>
      <c r="B6" s="7" t="s">
        <v>62</v>
      </c>
      <c r="C6" s="6" t="s">
        <v>156</v>
      </c>
      <c r="D6" s="7" t="s">
        <v>157</v>
      </c>
      <c r="E6" s="7" t="s">
        <v>158</v>
      </c>
      <c r="F6" s="7" t="s">
        <v>159</v>
      </c>
      <c r="G6" s="7" t="s">
        <v>160</v>
      </c>
      <c r="H6" s="7" t="s">
        <v>161</v>
      </c>
      <c r="I6" s="21" t="n">
        <v>2</v>
      </c>
      <c r="J6" s="21" t="n">
        <v>1</v>
      </c>
      <c r="K6" s="21" t="n">
        <v>2</v>
      </c>
      <c r="L6" s="19" t="n">
        <f aca="false">SUM(I6:K6)</f>
        <v>5</v>
      </c>
      <c r="M6" s="16" t="str">
        <f aca="false">IF(MAX(I6:K6)=0,"—",IF(COUNTIF(I6:K6,MAX(I6:K6))&gt;1,"Mixed",IF(I6=MAX(I6:K6),"AI",IF(J6=MAX(I6:K6),"Ledgers and tokenization","Instruments and market structure"))))</f>
        <v>Mixed</v>
      </c>
      <c r="N6" s="7" t="s">
        <v>162</v>
      </c>
      <c r="O6" s="7" t="s">
        <v>163</v>
      </c>
    </row>
    <row r="7" customFormat="false" ht="41.25" hidden="false" customHeight="true" outlineLevel="0" collapsed="false">
      <c r="A7" s="16" t="s">
        <v>164</v>
      </c>
      <c r="B7" s="7" t="s">
        <v>62</v>
      </c>
      <c r="C7" s="6" t="s">
        <v>165</v>
      </c>
      <c r="D7" s="7" t="s">
        <v>166</v>
      </c>
      <c r="E7" s="7" t="s">
        <v>167</v>
      </c>
      <c r="F7" s="7" t="s">
        <v>168</v>
      </c>
      <c r="G7" s="7" t="s">
        <v>169</v>
      </c>
      <c r="H7" s="7" t="s">
        <v>170</v>
      </c>
      <c r="I7" s="21" t="n">
        <v>1</v>
      </c>
      <c r="J7" s="21" t="n">
        <v>3</v>
      </c>
      <c r="K7" s="21" t="n">
        <v>2</v>
      </c>
      <c r="L7" s="19" t="n">
        <f aca="false">SUM(I7:K7)</f>
        <v>6</v>
      </c>
      <c r="M7" s="16" t="str">
        <f aca="false">IF(MAX(I7:K7)=0,"—",IF(COUNTIF(I7:K7,MAX(I7:K7))&gt;1,"Mixed",IF(I7=MAX(I7:K7),"AI",IF(J7=MAX(I7:K7),"Ledgers and tokenization","Instruments and market structure"))))</f>
        <v>Ledgers and tokenization</v>
      </c>
      <c r="N7" s="7" t="s">
        <v>171</v>
      </c>
      <c r="O7" s="7" t="s">
        <v>171</v>
      </c>
    </row>
    <row r="8" customFormat="false" ht="92.25" hidden="false" customHeight="true" outlineLevel="0" collapsed="false">
      <c r="A8" s="16" t="s">
        <v>172</v>
      </c>
      <c r="B8" s="7" t="s">
        <v>62</v>
      </c>
      <c r="C8" s="6" t="s">
        <v>173</v>
      </c>
      <c r="D8" s="7" t="s">
        <v>174</v>
      </c>
      <c r="E8" s="7" t="s">
        <v>175</v>
      </c>
      <c r="F8" s="7" t="s">
        <v>176</v>
      </c>
      <c r="G8" s="7" t="s">
        <v>177</v>
      </c>
      <c r="H8" s="7" t="s">
        <v>178</v>
      </c>
      <c r="I8" s="21" t="n">
        <v>1</v>
      </c>
      <c r="J8" s="21" t="n">
        <v>2</v>
      </c>
      <c r="K8" s="21" t="n">
        <v>3</v>
      </c>
      <c r="L8" s="19" t="n">
        <f aca="false">SUM(I8:K8)</f>
        <v>6</v>
      </c>
      <c r="M8" s="16" t="str">
        <f aca="false">IF(MAX(I8:K8)=0,"—",IF(COUNTIF(I8:K8,MAX(I8:K8))&gt;1,"Mixed",IF(I8=MAX(I8:K8),"AI",IF(J8=MAX(I8:K8),"Ledgers and tokenization","Instruments and market structure"))))</f>
        <v>Instruments and market structure</v>
      </c>
      <c r="N8" s="7" t="s">
        <v>179</v>
      </c>
      <c r="O8" s="7" t="s">
        <v>180</v>
      </c>
    </row>
    <row r="9" customFormat="false" ht="66.75" hidden="false" customHeight="true" outlineLevel="0" collapsed="false">
      <c r="A9" s="16" t="s">
        <v>181</v>
      </c>
      <c r="B9" s="7" t="s">
        <v>62</v>
      </c>
      <c r="C9" s="6" t="s">
        <v>182</v>
      </c>
      <c r="D9" s="7" t="s">
        <v>183</v>
      </c>
      <c r="E9" s="7" t="s">
        <v>184</v>
      </c>
      <c r="F9" s="7" t="s">
        <v>185</v>
      </c>
      <c r="G9" s="7" t="s">
        <v>186</v>
      </c>
      <c r="H9" s="7" t="s">
        <v>187</v>
      </c>
      <c r="I9" s="21" t="n">
        <v>1</v>
      </c>
      <c r="J9" s="21" t="n">
        <v>1</v>
      </c>
      <c r="K9" s="21" t="n">
        <v>3</v>
      </c>
      <c r="L9" s="19" t="n">
        <f aca="false">SUM(I9:K9)</f>
        <v>5</v>
      </c>
      <c r="M9" s="16" t="str">
        <f aca="false">IF(MAX(I9:K9)=0,"—",IF(COUNTIF(I9:K9,MAX(I9:K9))&gt;1,"Mixed",IF(I9=MAX(I9:K9),"AI",IF(J9=MAX(I9:K9),"Ledgers and tokenization","Instruments and market structure"))))</f>
        <v>Instruments and market structure</v>
      </c>
      <c r="N9" s="7" t="s">
        <v>188</v>
      </c>
      <c r="O9" s="7" t="s">
        <v>189</v>
      </c>
    </row>
    <row r="10" customFormat="false" ht="54" hidden="false" customHeight="true" outlineLevel="0" collapsed="false">
      <c r="A10" s="16" t="s">
        <v>190</v>
      </c>
      <c r="B10" s="7" t="s">
        <v>62</v>
      </c>
      <c r="C10" s="6" t="s">
        <v>191</v>
      </c>
      <c r="D10" s="7" t="s">
        <v>192</v>
      </c>
      <c r="E10" s="7" t="s">
        <v>193</v>
      </c>
      <c r="F10" s="7" t="s">
        <v>194</v>
      </c>
      <c r="G10" s="7" t="s">
        <v>195</v>
      </c>
      <c r="H10" s="7" t="s">
        <v>196</v>
      </c>
      <c r="I10" s="21" t="n">
        <v>2</v>
      </c>
      <c r="J10" s="21" t="n">
        <v>1</v>
      </c>
      <c r="K10" s="21" t="n">
        <v>1</v>
      </c>
      <c r="L10" s="19" t="n">
        <f aca="false">SUM(I10:K10)</f>
        <v>4</v>
      </c>
      <c r="M10" s="16" t="str">
        <f aca="false">IF(MAX(I10:K10)=0,"—",IF(COUNTIF(I10:K10,MAX(I10:K10))&gt;1,"Mixed",IF(I10=MAX(I10:K10),"AI",IF(J10=MAX(I10:K10),"Ledgers and tokenization","Instruments and market structure"))))</f>
        <v>AI</v>
      </c>
      <c r="N10" s="7" t="s">
        <v>171</v>
      </c>
      <c r="O10" s="7" t="s">
        <v>197</v>
      </c>
    </row>
    <row r="11" customFormat="false" ht="54" hidden="false" customHeight="true" outlineLevel="0" collapsed="false">
      <c r="A11" s="16" t="s">
        <v>198</v>
      </c>
      <c r="B11" s="7" t="s">
        <v>70</v>
      </c>
      <c r="C11" s="6" t="s">
        <v>199</v>
      </c>
      <c r="D11" s="7" t="s">
        <v>200</v>
      </c>
      <c r="E11" s="7" t="s">
        <v>201</v>
      </c>
      <c r="F11" s="7" t="s">
        <v>202</v>
      </c>
      <c r="G11" s="7" t="s">
        <v>203</v>
      </c>
      <c r="H11" s="7" t="s">
        <v>204</v>
      </c>
      <c r="I11" s="21" t="n">
        <v>1</v>
      </c>
      <c r="J11" s="21" t="n">
        <v>1</v>
      </c>
      <c r="K11" s="21" t="n">
        <v>2</v>
      </c>
      <c r="L11" s="19" t="n">
        <f aca="false">SUM(I11:K11)</f>
        <v>4</v>
      </c>
      <c r="M11" s="16" t="str">
        <f aca="false">IF(MAX(I11:K11)=0,"—",IF(COUNTIF(I11:K11,MAX(I11:K11))&gt;1,"Mixed",IF(I11=MAX(I11:K11),"AI",IF(J11=MAX(I11:K11),"Ledgers and tokenization","Instruments and market structure"))))</f>
        <v>Instruments and market structure</v>
      </c>
      <c r="N11" s="7" t="s">
        <v>171</v>
      </c>
      <c r="O11" s="7" t="s">
        <v>205</v>
      </c>
    </row>
    <row r="12" customFormat="false" ht="41.25" hidden="false" customHeight="true" outlineLevel="0" collapsed="false">
      <c r="A12" s="16" t="s">
        <v>206</v>
      </c>
      <c r="B12" s="7" t="s">
        <v>70</v>
      </c>
      <c r="C12" s="6" t="s">
        <v>207</v>
      </c>
      <c r="D12" s="7" t="s">
        <v>208</v>
      </c>
      <c r="E12" s="7" t="s">
        <v>209</v>
      </c>
      <c r="F12" s="7" t="s">
        <v>210</v>
      </c>
      <c r="G12" s="7" t="s">
        <v>211</v>
      </c>
      <c r="H12" s="7" t="s">
        <v>212</v>
      </c>
      <c r="I12" s="21" t="n">
        <v>2</v>
      </c>
      <c r="J12" s="21" t="n">
        <v>1</v>
      </c>
      <c r="K12" s="21" t="n">
        <v>1</v>
      </c>
      <c r="L12" s="19" t="n">
        <f aca="false">SUM(I12:K12)</f>
        <v>4</v>
      </c>
      <c r="M12" s="16" t="str">
        <f aca="false">IF(MAX(I12:K12)=0,"—",IF(COUNTIF(I12:K12,MAX(I12:K12))&gt;1,"Mixed",IF(I12=MAX(I12:K12),"AI",IF(J12=MAX(I12:K12),"Ledgers and tokenization","Instruments and market structure"))))</f>
        <v>AI</v>
      </c>
      <c r="N12" s="7" t="s">
        <v>171</v>
      </c>
      <c r="O12" s="7" t="s">
        <v>213</v>
      </c>
    </row>
    <row r="13" customFormat="false" ht="66.75" hidden="false" customHeight="true" outlineLevel="0" collapsed="false">
      <c r="A13" s="16" t="s">
        <v>214</v>
      </c>
      <c r="B13" s="7" t="s">
        <v>70</v>
      </c>
      <c r="C13" s="6" t="s">
        <v>215</v>
      </c>
      <c r="D13" s="7" t="s">
        <v>216</v>
      </c>
      <c r="E13" s="7" t="s">
        <v>217</v>
      </c>
      <c r="F13" s="7" t="s">
        <v>218</v>
      </c>
      <c r="G13" s="7" t="s">
        <v>219</v>
      </c>
      <c r="H13" s="7" t="s">
        <v>220</v>
      </c>
      <c r="I13" s="21" t="n">
        <v>1</v>
      </c>
      <c r="J13" s="21" t="n">
        <v>1</v>
      </c>
      <c r="K13" s="21" t="n">
        <v>3</v>
      </c>
      <c r="L13" s="19" t="n">
        <f aca="false">SUM(I13:K13)</f>
        <v>5</v>
      </c>
      <c r="M13" s="16" t="str">
        <f aca="false">IF(MAX(I13:K13)=0,"—",IF(COUNTIF(I13:K13,MAX(I13:K13))&gt;1,"Mixed",IF(I13=MAX(I13:K13),"AI",IF(J13=MAX(I13:K13),"Ledgers and tokenization","Instruments and market structure"))))</f>
        <v>Instruments and market structure</v>
      </c>
      <c r="N13" s="7" t="s">
        <v>221</v>
      </c>
      <c r="O13" s="7" t="s">
        <v>222</v>
      </c>
    </row>
    <row r="14" customFormat="false" ht="117.75" hidden="false" customHeight="true" outlineLevel="0" collapsed="false">
      <c r="A14" s="16" t="s">
        <v>223</v>
      </c>
      <c r="B14" s="7" t="s">
        <v>70</v>
      </c>
      <c r="C14" s="6" t="s">
        <v>224</v>
      </c>
      <c r="D14" s="7" t="s">
        <v>225</v>
      </c>
      <c r="E14" s="7" t="s">
        <v>226</v>
      </c>
      <c r="F14" s="7" t="s">
        <v>227</v>
      </c>
      <c r="G14" s="7" t="s">
        <v>228</v>
      </c>
      <c r="H14" s="7" t="s">
        <v>229</v>
      </c>
      <c r="I14" s="21" t="n">
        <v>3</v>
      </c>
      <c r="J14" s="21" t="n">
        <v>2</v>
      </c>
      <c r="K14" s="21" t="n">
        <v>3</v>
      </c>
      <c r="L14" s="19" t="n">
        <f aca="false">SUM(I14:K14)</f>
        <v>8</v>
      </c>
      <c r="M14" s="16" t="str">
        <f aca="false">IF(MAX(I14:K14)=0,"—",IF(COUNTIF(I14:K14,MAX(I14:K14))&gt;1,"Mixed",IF(I14=MAX(I14:K14),"AI",IF(J14=MAX(I14:K14),"Ledgers and tokenization","Instruments and market structure"))))</f>
        <v>Mixed</v>
      </c>
      <c r="N14" s="7" t="s">
        <v>230</v>
      </c>
      <c r="O14" s="7" t="s">
        <v>231</v>
      </c>
    </row>
    <row r="15" customFormat="false" ht="54" hidden="false" customHeight="true" outlineLevel="0" collapsed="false">
      <c r="A15" s="16" t="s">
        <v>232</v>
      </c>
      <c r="B15" s="7" t="s">
        <v>70</v>
      </c>
      <c r="C15" s="6" t="s">
        <v>233</v>
      </c>
      <c r="D15" s="7" t="s">
        <v>234</v>
      </c>
      <c r="E15" s="7" t="s">
        <v>235</v>
      </c>
      <c r="F15" s="7" t="s">
        <v>236</v>
      </c>
      <c r="G15" s="7" t="s">
        <v>237</v>
      </c>
      <c r="H15" s="7" t="s">
        <v>238</v>
      </c>
      <c r="I15" s="21" t="n">
        <v>1</v>
      </c>
      <c r="J15" s="21" t="n">
        <v>2</v>
      </c>
      <c r="K15" s="21" t="n">
        <v>1</v>
      </c>
      <c r="L15" s="19" t="n">
        <f aca="false">SUM(I15:K15)</f>
        <v>4</v>
      </c>
      <c r="M15" s="16" t="str">
        <f aca="false">IF(MAX(I15:K15)=0,"—",IF(COUNTIF(I15:K15,MAX(I15:K15))&gt;1,"Mixed",IF(I15=MAX(I15:K15),"AI",IF(J15=MAX(I15:K15),"Ledgers and tokenization","Instruments and market structure"))))</f>
        <v>Ledgers and tokenization</v>
      </c>
      <c r="N15" s="7" t="s">
        <v>171</v>
      </c>
      <c r="O15" s="7" t="s">
        <v>171</v>
      </c>
    </row>
    <row r="16" customFormat="false" ht="117.75" hidden="false" customHeight="true" outlineLevel="0" collapsed="false">
      <c r="A16" s="16" t="s">
        <v>239</v>
      </c>
      <c r="B16" s="7" t="s">
        <v>77</v>
      </c>
      <c r="C16" s="6" t="s">
        <v>240</v>
      </c>
      <c r="D16" s="7" t="s">
        <v>241</v>
      </c>
      <c r="E16" s="7" t="s">
        <v>242</v>
      </c>
      <c r="F16" s="7" t="s">
        <v>243</v>
      </c>
      <c r="G16" s="7" t="s">
        <v>244</v>
      </c>
      <c r="H16" s="7" t="s">
        <v>245</v>
      </c>
      <c r="I16" s="21" t="n">
        <v>1</v>
      </c>
      <c r="J16" s="21" t="n">
        <v>3</v>
      </c>
      <c r="K16" s="21" t="n">
        <v>2</v>
      </c>
      <c r="L16" s="19" t="n">
        <f aca="false">SUM(I16:K16)</f>
        <v>6</v>
      </c>
      <c r="M16" s="16" t="str">
        <f aca="false">IF(MAX(I16:K16)=0,"—",IF(COUNTIF(I16:K16,MAX(I16:K16))&gt;1,"Mixed",IF(I16=MAX(I16:K16),"AI",IF(J16=MAX(I16:K16),"Ledgers and tokenization","Instruments and market structure"))))</f>
        <v>Ledgers and tokenization</v>
      </c>
      <c r="N16" s="7" t="s">
        <v>246</v>
      </c>
      <c r="O16" s="7" t="s">
        <v>247</v>
      </c>
    </row>
    <row r="17" customFormat="false" ht="41.25" hidden="false" customHeight="true" outlineLevel="0" collapsed="false">
      <c r="A17" s="16" t="s">
        <v>248</v>
      </c>
      <c r="B17" s="7" t="s">
        <v>77</v>
      </c>
      <c r="C17" s="6" t="s">
        <v>249</v>
      </c>
      <c r="D17" s="7" t="s">
        <v>250</v>
      </c>
      <c r="E17" s="7" t="s">
        <v>251</v>
      </c>
      <c r="F17" s="7" t="s">
        <v>252</v>
      </c>
      <c r="G17" s="7" t="s">
        <v>253</v>
      </c>
      <c r="H17" s="7" t="s">
        <v>254</v>
      </c>
      <c r="I17" s="21" t="n">
        <v>2</v>
      </c>
      <c r="J17" s="21" t="n">
        <v>1</v>
      </c>
      <c r="K17" s="21" t="n">
        <v>1</v>
      </c>
      <c r="L17" s="19" t="n">
        <f aca="false">SUM(I17:K17)</f>
        <v>4</v>
      </c>
      <c r="M17" s="16" t="str">
        <f aca="false">IF(MAX(I17:K17)=0,"—",IF(COUNTIF(I17:K17,MAX(I17:K17))&gt;1,"Mixed",IF(I17=MAX(I17:K17),"AI",IF(J17=MAX(I17:K17),"Ledgers and tokenization","Instruments and market structure"))))</f>
        <v>AI</v>
      </c>
      <c r="N17" s="7" t="s">
        <v>162</v>
      </c>
      <c r="O17" s="7" t="s">
        <v>79</v>
      </c>
    </row>
    <row r="18" customFormat="false" ht="41.25" hidden="false" customHeight="true" outlineLevel="0" collapsed="false">
      <c r="A18" s="16" t="s">
        <v>255</v>
      </c>
      <c r="B18" s="7" t="s">
        <v>77</v>
      </c>
      <c r="C18" s="6" t="s">
        <v>256</v>
      </c>
      <c r="D18" s="7" t="s">
        <v>257</v>
      </c>
      <c r="E18" s="7" t="s">
        <v>258</v>
      </c>
      <c r="F18" s="7" t="s">
        <v>259</v>
      </c>
      <c r="G18" s="7" t="s">
        <v>260</v>
      </c>
      <c r="H18" s="7" t="s">
        <v>261</v>
      </c>
      <c r="I18" s="21" t="n">
        <v>3</v>
      </c>
      <c r="J18" s="21" t="n">
        <v>1</v>
      </c>
      <c r="K18" s="21" t="n">
        <v>2</v>
      </c>
      <c r="L18" s="19" t="n">
        <f aca="false">SUM(I18:K18)</f>
        <v>6</v>
      </c>
      <c r="M18" s="16" t="str">
        <f aca="false">IF(MAX(I18:K18)=0,"—",IF(COUNTIF(I18:K18,MAX(I18:K18))&gt;1,"Mixed",IF(I18=MAX(I18:K18),"AI",IF(J18=MAX(I18:K18),"Ledgers and tokenization","Instruments and market structure"))))</f>
        <v>AI</v>
      </c>
      <c r="N18" s="7" t="s">
        <v>262</v>
      </c>
      <c r="O18" s="7" t="s">
        <v>263</v>
      </c>
    </row>
    <row r="19" customFormat="false" ht="54" hidden="false" customHeight="true" outlineLevel="0" collapsed="false">
      <c r="A19" s="16" t="s">
        <v>264</v>
      </c>
      <c r="B19" s="7" t="s">
        <v>77</v>
      </c>
      <c r="C19" s="6" t="s">
        <v>265</v>
      </c>
      <c r="D19" s="7" t="s">
        <v>266</v>
      </c>
      <c r="E19" s="7" t="s">
        <v>267</v>
      </c>
      <c r="F19" s="7" t="s">
        <v>268</v>
      </c>
      <c r="G19" s="7" t="s">
        <v>269</v>
      </c>
      <c r="H19" s="7" t="s">
        <v>270</v>
      </c>
      <c r="I19" s="21" t="n">
        <v>3</v>
      </c>
      <c r="J19" s="21" t="n">
        <v>2</v>
      </c>
      <c r="K19" s="21" t="n">
        <v>1</v>
      </c>
      <c r="L19" s="19" t="n">
        <f aca="false">SUM(I19:K19)</f>
        <v>6</v>
      </c>
      <c r="M19" s="16" t="str">
        <f aca="false">IF(MAX(I19:K19)=0,"—",IF(COUNTIF(I19:K19,MAX(I19:K19))&gt;1,"Mixed",IF(I19=MAX(I19:K19),"AI",IF(J19=MAX(I19:K19),"Ledgers and tokenization","Instruments and market structure"))))</f>
        <v>AI</v>
      </c>
      <c r="N19" s="7" t="s">
        <v>271</v>
      </c>
      <c r="O19" s="7" t="s">
        <v>272</v>
      </c>
    </row>
    <row r="20" customFormat="false" ht="79.5" hidden="false" customHeight="true" outlineLevel="0" collapsed="false">
      <c r="A20" s="16" t="s">
        <v>273</v>
      </c>
      <c r="B20" s="7" t="s">
        <v>83</v>
      </c>
      <c r="C20" s="6" t="s">
        <v>274</v>
      </c>
      <c r="D20" s="7" t="s">
        <v>275</v>
      </c>
      <c r="E20" s="7" t="s">
        <v>276</v>
      </c>
      <c r="F20" s="7" t="s">
        <v>277</v>
      </c>
      <c r="G20" s="7" t="s">
        <v>278</v>
      </c>
      <c r="H20" s="7" t="s">
        <v>279</v>
      </c>
      <c r="I20" s="21" t="n">
        <v>3</v>
      </c>
      <c r="J20" s="21" t="n">
        <v>2</v>
      </c>
      <c r="K20" s="21" t="n">
        <v>2</v>
      </c>
      <c r="L20" s="19" t="n">
        <f aca="false">SUM(I20:K20)</f>
        <v>7</v>
      </c>
      <c r="M20" s="16" t="str">
        <f aca="false">IF(MAX(I20:K20)=0,"—",IF(COUNTIF(I20:K20,MAX(I20:K20))&gt;1,"Mixed",IF(I20=MAX(I20:K20),"AI",IF(J20=MAX(I20:K20),"Ledgers and tokenization","Instruments and market structure"))))</f>
        <v>AI</v>
      </c>
      <c r="N20" s="7" t="s">
        <v>280</v>
      </c>
      <c r="O20" s="7" t="s">
        <v>281</v>
      </c>
    </row>
    <row r="21" customFormat="false" ht="54" hidden="false" customHeight="true" outlineLevel="0" collapsed="false">
      <c r="A21" s="16" t="s">
        <v>282</v>
      </c>
      <c r="B21" s="7" t="s">
        <v>83</v>
      </c>
      <c r="C21" s="6" t="s">
        <v>283</v>
      </c>
      <c r="D21" s="7" t="s">
        <v>284</v>
      </c>
      <c r="E21" s="7" t="s">
        <v>285</v>
      </c>
      <c r="F21" s="7" t="s">
        <v>286</v>
      </c>
      <c r="G21" s="7" t="s">
        <v>287</v>
      </c>
      <c r="H21" s="7" t="s">
        <v>288</v>
      </c>
      <c r="I21" s="21" t="n">
        <v>3</v>
      </c>
      <c r="J21" s="21" t="n">
        <v>3</v>
      </c>
      <c r="K21" s="21" t="n">
        <v>2</v>
      </c>
      <c r="L21" s="19" t="n">
        <f aca="false">SUM(I21:K21)</f>
        <v>8</v>
      </c>
      <c r="M21" s="16" t="str">
        <f aca="false">IF(MAX(I21:K21)=0,"—",IF(COUNTIF(I21:K21,MAX(I21:K21))&gt;1,"Mixed",IF(I21=MAX(I21:K21),"AI",IF(J21=MAX(I21:K21),"Ledgers and tokenization","Instruments and market structure"))))</f>
        <v>Mixed</v>
      </c>
      <c r="N21" s="7" t="s">
        <v>289</v>
      </c>
      <c r="O21" s="7" t="s">
        <v>290</v>
      </c>
    </row>
    <row r="22" customFormat="false" ht="66.75" hidden="false" customHeight="true" outlineLevel="0" collapsed="false">
      <c r="A22" s="16" t="s">
        <v>291</v>
      </c>
      <c r="B22" s="7" t="s">
        <v>83</v>
      </c>
      <c r="C22" s="6" t="s">
        <v>292</v>
      </c>
      <c r="D22" s="7" t="s">
        <v>293</v>
      </c>
      <c r="E22" s="7" t="s">
        <v>294</v>
      </c>
      <c r="F22" s="7" t="s">
        <v>295</v>
      </c>
      <c r="G22" s="7" t="s">
        <v>296</v>
      </c>
      <c r="H22" s="7" t="s">
        <v>297</v>
      </c>
      <c r="I22" s="21" t="n">
        <v>2</v>
      </c>
      <c r="J22" s="21" t="n">
        <v>2</v>
      </c>
      <c r="K22" s="21" t="n">
        <v>3</v>
      </c>
      <c r="L22" s="19" t="n">
        <f aca="false">SUM(I22:K22)</f>
        <v>7</v>
      </c>
      <c r="M22" s="16" t="str">
        <f aca="false">IF(MAX(I22:K22)=0,"—",IF(COUNTIF(I22:K22,MAX(I22:K22))&gt;1,"Mixed",IF(I22=MAX(I22:K22),"AI",IF(J22=MAX(I22:K22),"Ledgers and tokenization","Instruments and market structure"))))</f>
        <v>Instruments and market structure</v>
      </c>
      <c r="N22" s="7" t="s">
        <v>298</v>
      </c>
      <c r="O22" s="7" t="s">
        <v>299</v>
      </c>
    </row>
    <row r="23" customFormat="false" ht="54" hidden="false" customHeight="true" outlineLevel="0" collapsed="false">
      <c r="A23" s="16" t="s">
        <v>300</v>
      </c>
      <c r="B23" s="7" t="s">
        <v>83</v>
      </c>
      <c r="C23" s="6" t="s">
        <v>301</v>
      </c>
      <c r="D23" s="7" t="s">
        <v>302</v>
      </c>
      <c r="E23" s="7" t="s">
        <v>303</v>
      </c>
      <c r="F23" s="7" t="s">
        <v>304</v>
      </c>
      <c r="G23" s="7" t="s">
        <v>305</v>
      </c>
      <c r="H23" s="7" t="s">
        <v>306</v>
      </c>
      <c r="I23" s="21" t="n">
        <v>1</v>
      </c>
      <c r="J23" s="21" t="n">
        <v>3</v>
      </c>
      <c r="K23" s="21" t="n">
        <v>2</v>
      </c>
      <c r="L23" s="19" t="n">
        <f aca="false">SUM(I23:K23)</f>
        <v>6</v>
      </c>
      <c r="M23" s="16" t="str">
        <f aca="false">IF(MAX(I23:K23)=0,"—",IF(COUNTIF(I23:K23,MAX(I23:K23))&gt;1,"Mixed",IF(I23=MAX(I23:K23),"AI",IF(J23=MAX(I23:K23),"Ledgers and tokenization","Instruments and market structure"))))</f>
        <v>Ledgers and tokenization</v>
      </c>
      <c r="N23" s="7" t="s">
        <v>171</v>
      </c>
      <c r="O23" s="7" t="s">
        <v>79</v>
      </c>
    </row>
    <row r="24" customFormat="false" ht="41.25" hidden="false" customHeight="true" outlineLevel="0" collapsed="false">
      <c r="A24" s="16" t="s">
        <v>307</v>
      </c>
      <c r="B24" s="7" t="s">
        <v>90</v>
      </c>
      <c r="C24" s="6" t="s">
        <v>308</v>
      </c>
      <c r="D24" s="7" t="s">
        <v>309</v>
      </c>
      <c r="E24" s="7" t="s">
        <v>310</v>
      </c>
      <c r="F24" s="7" t="s">
        <v>311</v>
      </c>
      <c r="G24" s="7" t="s">
        <v>312</v>
      </c>
      <c r="H24" s="7" t="s">
        <v>313</v>
      </c>
      <c r="I24" s="21" t="n">
        <v>1</v>
      </c>
      <c r="J24" s="21" t="n">
        <v>1</v>
      </c>
      <c r="K24" s="21" t="n">
        <v>2</v>
      </c>
      <c r="L24" s="19" t="n">
        <f aca="false">SUM(I24:K24)</f>
        <v>4</v>
      </c>
      <c r="M24" s="16" t="str">
        <f aca="false">IF(MAX(I24:K24)=0,"—",IF(COUNTIF(I24:K24,MAX(I24:K24))&gt;1,"Mixed",IF(I24=MAX(I24:K24),"AI",IF(J24=MAX(I24:K24),"Ledgers and tokenization","Instruments and market structure"))))</f>
        <v>Instruments and market structure</v>
      </c>
      <c r="N24" s="7" t="s">
        <v>179</v>
      </c>
      <c r="O24" s="7" t="s">
        <v>314</v>
      </c>
    </row>
    <row r="25" customFormat="false" ht="156" hidden="false" customHeight="true" outlineLevel="0" collapsed="false">
      <c r="A25" s="16" t="s">
        <v>315</v>
      </c>
      <c r="B25" s="7" t="s">
        <v>90</v>
      </c>
      <c r="C25" s="6" t="s">
        <v>316</v>
      </c>
      <c r="D25" s="7" t="s">
        <v>317</v>
      </c>
      <c r="E25" s="7" t="s">
        <v>318</v>
      </c>
      <c r="F25" s="7" t="s">
        <v>319</v>
      </c>
      <c r="G25" s="7" t="s">
        <v>320</v>
      </c>
      <c r="H25" s="7" t="s">
        <v>321</v>
      </c>
      <c r="I25" s="21" t="n">
        <v>1</v>
      </c>
      <c r="J25" s="21" t="n">
        <v>1</v>
      </c>
      <c r="K25" s="21" t="n">
        <v>3</v>
      </c>
      <c r="L25" s="19" t="n">
        <f aca="false">SUM(I25:K25)</f>
        <v>5</v>
      </c>
      <c r="M25" s="16" t="str">
        <f aca="false">IF(MAX(I25:K25)=0,"—",IF(COUNTIF(I25:K25,MAX(I25:K25))&gt;1,"Mixed",IF(I25=MAX(I25:K25),"AI",IF(J25=MAX(I25:K25),"Ledgers and tokenization","Instruments and market structure"))))</f>
        <v>Instruments and market structure</v>
      </c>
      <c r="N25" s="7" t="s">
        <v>322</v>
      </c>
      <c r="O25" s="7" t="s">
        <v>323</v>
      </c>
    </row>
    <row r="26" customFormat="false" ht="92.25" hidden="false" customHeight="true" outlineLevel="0" collapsed="false">
      <c r="A26" s="16" t="s">
        <v>324</v>
      </c>
      <c r="B26" s="7" t="s">
        <v>90</v>
      </c>
      <c r="C26" s="6" t="s">
        <v>325</v>
      </c>
      <c r="D26" s="7" t="s">
        <v>326</v>
      </c>
      <c r="E26" s="7" t="s">
        <v>327</v>
      </c>
      <c r="F26" s="7" t="s">
        <v>328</v>
      </c>
      <c r="G26" s="7" t="s">
        <v>329</v>
      </c>
      <c r="H26" s="7" t="s">
        <v>330</v>
      </c>
      <c r="I26" s="21" t="n">
        <v>1</v>
      </c>
      <c r="J26" s="21" t="n">
        <v>1</v>
      </c>
      <c r="K26" s="21" t="n">
        <v>2</v>
      </c>
      <c r="L26" s="19" t="n">
        <f aca="false">SUM(I26:K26)</f>
        <v>4</v>
      </c>
      <c r="M26" s="16" t="str">
        <f aca="false">IF(MAX(I26:K26)=0,"—",IF(COUNTIF(I26:K26,MAX(I26:K26))&gt;1,"Mixed",IF(I26=MAX(I26:K26),"AI",IF(J26=MAX(I26:K26),"Ledgers and tokenization","Instruments and market structure"))))</f>
        <v>Instruments and market structure</v>
      </c>
      <c r="N26" s="7" t="s">
        <v>153</v>
      </c>
      <c r="O26" s="7" t="s">
        <v>331</v>
      </c>
    </row>
    <row r="27" customFormat="false" ht="41.25" hidden="false" customHeight="true" outlineLevel="0" collapsed="false">
      <c r="A27" s="16" t="s">
        <v>332</v>
      </c>
      <c r="B27" s="7" t="s">
        <v>90</v>
      </c>
      <c r="C27" s="6" t="s">
        <v>333</v>
      </c>
      <c r="D27" s="7" t="s">
        <v>334</v>
      </c>
      <c r="E27" s="7" t="s">
        <v>335</v>
      </c>
      <c r="F27" s="7" t="s">
        <v>336</v>
      </c>
      <c r="G27" s="7" t="s">
        <v>337</v>
      </c>
      <c r="H27" s="7" t="s">
        <v>338</v>
      </c>
      <c r="I27" s="21" t="n">
        <v>2</v>
      </c>
      <c r="J27" s="21" t="n">
        <v>2</v>
      </c>
      <c r="K27" s="21" t="n">
        <v>3</v>
      </c>
      <c r="L27" s="19" t="n">
        <f aca="false">SUM(I27:K27)</f>
        <v>7</v>
      </c>
      <c r="M27" s="16" t="str">
        <f aca="false">IF(MAX(I27:K27)=0,"—",IF(COUNTIF(I27:K27,MAX(I27:K27))&gt;1,"Mixed",IF(I27=MAX(I27:K27),"AI",IF(J27=MAX(I27:K27),"Ledgers and tokenization","Instruments and market structure"))))</f>
        <v>Instruments and market structure</v>
      </c>
      <c r="N27" s="7" t="s">
        <v>339</v>
      </c>
      <c r="O27" s="7" t="s">
        <v>340</v>
      </c>
    </row>
    <row r="28" customFormat="false" ht="41.25" hidden="false" customHeight="true" outlineLevel="0" collapsed="false">
      <c r="A28" s="16" t="s">
        <v>341</v>
      </c>
      <c r="B28" s="7" t="s">
        <v>97</v>
      </c>
      <c r="C28" s="6" t="s">
        <v>342</v>
      </c>
      <c r="D28" s="7" t="s">
        <v>343</v>
      </c>
      <c r="E28" s="7" t="s">
        <v>344</v>
      </c>
      <c r="F28" s="7" t="s">
        <v>345</v>
      </c>
      <c r="G28" s="7" t="s">
        <v>346</v>
      </c>
      <c r="H28" s="7" t="s">
        <v>347</v>
      </c>
      <c r="I28" s="21" t="n">
        <v>1</v>
      </c>
      <c r="J28" s="21" t="n">
        <v>1</v>
      </c>
      <c r="K28" s="21" t="n">
        <v>2</v>
      </c>
      <c r="L28" s="19" t="n">
        <f aca="false">SUM(I28:K28)</f>
        <v>4</v>
      </c>
      <c r="M28" s="16" t="str">
        <f aca="false">IF(MAX(I28:K28)=0,"—",IF(COUNTIF(I28:K28,MAX(I28:K28))&gt;1,"Mixed",IF(I28=MAX(I28:K28),"AI",IF(J28=MAX(I28:K28),"Ledgers and tokenization","Instruments and market structure"))))</f>
        <v>Instruments and market structure</v>
      </c>
      <c r="N28" s="7" t="s">
        <v>171</v>
      </c>
      <c r="O28" s="7" t="s">
        <v>348</v>
      </c>
    </row>
    <row r="29" customFormat="false" ht="41.25" hidden="false" customHeight="true" outlineLevel="0" collapsed="false">
      <c r="A29" s="16" t="s">
        <v>349</v>
      </c>
      <c r="B29" s="7" t="s">
        <v>97</v>
      </c>
      <c r="C29" s="6" t="s">
        <v>350</v>
      </c>
      <c r="D29" s="7" t="s">
        <v>351</v>
      </c>
      <c r="E29" s="7" t="s">
        <v>352</v>
      </c>
      <c r="F29" s="7" t="s">
        <v>353</v>
      </c>
      <c r="G29" s="7" t="s">
        <v>354</v>
      </c>
      <c r="H29" s="7" t="s">
        <v>355</v>
      </c>
      <c r="I29" s="21" t="n">
        <v>1</v>
      </c>
      <c r="J29" s="21" t="n">
        <v>0</v>
      </c>
      <c r="K29" s="21" t="n">
        <v>1</v>
      </c>
      <c r="L29" s="19" t="n">
        <f aca="false">SUM(I29:K29)</f>
        <v>2</v>
      </c>
      <c r="M29" s="16" t="str">
        <f aca="false">IF(MAX(I29:K29)=0,"—",IF(COUNTIF(I29:K29,MAX(I29:K29))&gt;1,"Mixed",IF(I29=MAX(I29:K29),"AI",IF(J29=MAX(I29:K29),"Ledgers and tokenization","Instruments and market structure"))))</f>
        <v>Mixed</v>
      </c>
      <c r="N29" s="7" t="s">
        <v>171</v>
      </c>
      <c r="O29" s="7" t="s">
        <v>356</v>
      </c>
    </row>
    <row r="30" customFormat="false" ht="79.5" hidden="false" customHeight="true" outlineLevel="0" collapsed="false">
      <c r="A30" s="16" t="s">
        <v>357</v>
      </c>
      <c r="B30" s="7" t="s">
        <v>97</v>
      </c>
      <c r="C30" s="6" t="s">
        <v>358</v>
      </c>
      <c r="D30" s="7" t="s">
        <v>359</v>
      </c>
      <c r="E30" s="7" t="s">
        <v>360</v>
      </c>
      <c r="F30" s="7" t="s">
        <v>361</v>
      </c>
      <c r="G30" s="7" t="s">
        <v>362</v>
      </c>
      <c r="H30" s="7" t="s">
        <v>363</v>
      </c>
      <c r="I30" s="21" t="n">
        <v>2</v>
      </c>
      <c r="J30" s="21" t="n">
        <v>2</v>
      </c>
      <c r="K30" s="21" t="n">
        <v>1</v>
      </c>
      <c r="L30" s="19" t="n">
        <f aca="false">SUM(I30:K30)</f>
        <v>5</v>
      </c>
      <c r="M30" s="16" t="str">
        <f aca="false">IF(MAX(I30:K30)=0,"—",IF(COUNTIF(I30:K30,MAX(I30:K30))&gt;1,"Mixed",IF(I30=MAX(I30:K30),"AI",IF(J30=MAX(I30:K30),"Ledgers and tokenization","Instruments and market structure"))))</f>
        <v>Mixed</v>
      </c>
      <c r="N30" s="7" t="s">
        <v>364</v>
      </c>
      <c r="O30" s="7" t="s">
        <v>365</v>
      </c>
    </row>
    <row r="31" customFormat="false" ht="54" hidden="false" customHeight="true" outlineLevel="0" collapsed="false">
      <c r="A31" s="16" t="s">
        <v>366</v>
      </c>
      <c r="B31" s="7" t="s">
        <v>97</v>
      </c>
      <c r="C31" s="6" t="s">
        <v>367</v>
      </c>
      <c r="D31" s="7" t="s">
        <v>368</v>
      </c>
      <c r="E31" s="7" t="s">
        <v>369</v>
      </c>
      <c r="F31" s="7" t="s">
        <v>370</v>
      </c>
      <c r="G31" s="7" t="s">
        <v>371</v>
      </c>
      <c r="H31" s="7" t="s">
        <v>372</v>
      </c>
      <c r="I31" s="21" t="n">
        <v>3</v>
      </c>
      <c r="J31" s="21" t="n">
        <v>2</v>
      </c>
      <c r="K31" s="21" t="n">
        <v>1</v>
      </c>
      <c r="L31" s="19" t="n">
        <f aca="false">SUM(I31:K31)</f>
        <v>6</v>
      </c>
      <c r="M31" s="16" t="str">
        <f aca="false">IF(MAX(I31:K31)=0,"—",IF(COUNTIF(I31:K31,MAX(I31:K31))&gt;1,"Mixed",IF(I31=MAX(I31:K31),"AI",IF(J31=MAX(I31:K31),"Ledgers and tokenization","Instruments and market structure"))))</f>
        <v>AI</v>
      </c>
      <c r="N31" s="7" t="s">
        <v>373</v>
      </c>
      <c r="O31" s="7" t="s">
        <v>374</v>
      </c>
    </row>
    <row r="32" customFormat="false" ht="105" hidden="false" customHeight="true" outlineLevel="0" collapsed="false">
      <c r="A32" s="16" t="s">
        <v>375</v>
      </c>
      <c r="B32" s="7" t="s">
        <v>103</v>
      </c>
      <c r="C32" s="6" t="s">
        <v>376</v>
      </c>
      <c r="D32" s="7" t="s">
        <v>377</v>
      </c>
      <c r="E32" s="7" t="s">
        <v>378</v>
      </c>
      <c r="F32" s="7" t="s">
        <v>379</v>
      </c>
      <c r="G32" s="7" t="s">
        <v>380</v>
      </c>
      <c r="H32" s="7" t="s">
        <v>381</v>
      </c>
      <c r="I32" s="21" t="n">
        <v>2</v>
      </c>
      <c r="J32" s="21" t="n">
        <v>1</v>
      </c>
      <c r="K32" s="21" t="n">
        <v>3</v>
      </c>
      <c r="L32" s="19" t="n">
        <f aca="false">SUM(I32:K32)</f>
        <v>6</v>
      </c>
      <c r="M32" s="16" t="str">
        <f aca="false">IF(MAX(I32:K32)=0,"—",IF(COUNTIF(I32:K32,MAX(I32:K32))&gt;1,"Mixed",IF(I32=MAX(I32:K32),"AI",IF(J32=MAX(I32:K32),"Ledgers and tokenization","Instruments and market structure"))))</f>
        <v>Instruments and market structure</v>
      </c>
      <c r="N32" s="7" t="s">
        <v>382</v>
      </c>
      <c r="O32" s="7" t="s">
        <v>383</v>
      </c>
    </row>
    <row r="33" customFormat="false" ht="54" hidden="false" customHeight="true" outlineLevel="0" collapsed="false">
      <c r="A33" s="16" t="s">
        <v>384</v>
      </c>
      <c r="B33" s="7" t="s">
        <v>103</v>
      </c>
      <c r="C33" s="6" t="s">
        <v>385</v>
      </c>
      <c r="D33" s="7" t="s">
        <v>386</v>
      </c>
      <c r="E33" s="7" t="s">
        <v>387</v>
      </c>
      <c r="F33" s="7" t="s">
        <v>388</v>
      </c>
      <c r="G33" s="7" t="s">
        <v>389</v>
      </c>
      <c r="H33" s="7" t="s">
        <v>390</v>
      </c>
      <c r="I33" s="21" t="n">
        <v>2</v>
      </c>
      <c r="J33" s="21" t="n">
        <v>2</v>
      </c>
      <c r="K33" s="21" t="n">
        <v>3</v>
      </c>
      <c r="L33" s="19" t="n">
        <f aca="false">SUM(I33:K33)</f>
        <v>7</v>
      </c>
      <c r="M33" s="16" t="str">
        <f aca="false">IF(MAX(I33:K33)=0,"—",IF(COUNTIF(I33:K33,MAX(I33:K33))&gt;1,"Mixed",IF(I33=MAX(I33:K33),"AI",IF(J33=MAX(I33:K33),"Ledgers and tokenization","Instruments and market structure"))))</f>
        <v>Instruments and market structure</v>
      </c>
      <c r="N33" s="7" t="s">
        <v>391</v>
      </c>
      <c r="O33" s="7" t="s">
        <v>72</v>
      </c>
    </row>
    <row r="34" customFormat="false" ht="66.75" hidden="false" customHeight="true" outlineLevel="0" collapsed="false">
      <c r="A34" s="16" t="s">
        <v>392</v>
      </c>
      <c r="B34" s="7" t="s">
        <v>103</v>
      </c>
      <c r="C34" s="6" t="s">
        <v>393</v>
      </c>
      <c r="D34" s="7" t="s">
        <v>394</v>
      </c>
      <c r="E34" s="7" t="s">
        <v>395</v>
      </c>
      <c r="F34" s="7" t="s">
        <v>396</v>
      </c>
      <c r="G34" s="7" t="s">
        <v>397</v>
      </c>
      <c r="H34" s="7" t="s">
        <v>398</v>
      </c>
      <c r="I34" s="21" t="n">
        <v>1</v>
      </c>
      <c r="J34" s="21" t="n">
        <v>3</v>
      </c>
      <c r="K34" s="21" t="n">
        <v>2</v>
      </c>
      <c r="L34" s="19" t="n">
        <f aca="false">SUM(I34:K34)</f>
        <v>6</v>
      </c>
      <c r="M34" s="16" t="str">
        <f aca="false">IF(MAX(I34:K34)=0,"—",IF(COUNTIF(I34:K34,MAX(I34:K34))&gt;1,"Mixed",IF(I34=MAX(I34:K34),"AI",IF(J34=MAX(I34:K34),"Ledgers and tokenization","Instruments and market structure"))))</f>
        <v>Ledgers and tokenization</v>
      </c>
      <c r="N34" s="7" t="s">
        <v>399</v>
      </c>
      <c r="O34" s="7" t="s">
        <v>400</v>
      </c>
    </row>
    <row r="35" customFormat="false" ht="41.25" hidden="false" customHeight="true" outlineLevel="0" collapsed="false">
      <c r="A35" s="16" t="s">
        <v>401</v>
      </c>
      <c r="B35" s="7" t="s">
        <v>103</v>
      </c>
      <c r="C35" s="6" t="s">
        <v>402</v>
      </c>
      <c r="D35" s="7" t="s">
        <v>403</v>
      </c>
      <c r="E35" s="7" t="s">
        <v>404</v>
      </c>
      <c r="F35" s="7" t="s">
        <v>405</v>
      </c>
      <c r="G35" s="7" t="s">
        <v>406</v>
      </c>
      <c r="H35" s="7" t="s">
        <v>407</v>
      </c>
      <c r="I35" s="21" t="n">
        <v>3</v>
      </c>
      <c r="J35" s="21" t="n">
        <v>2</v>
      </c>
      <c r="K35" s="21" t="n">
        <v>2</v>
      </c>
      <c r="L35" s="19" t="n">
        <f aca="false">SUM(I35:K35)</f>
        <v>7</v>
      </c>
      <c r="M35" s="16" t="str">
        <f aca="false">IF(MAX(I35:K35)=0,"—",IF(COUNTIF(I35:K35,MAX(I35:K35))&gt;1,"Mixed",IF(I35=MAX(I35:K35),"AI",IF(J35=MAX(I35:K35),"Ledgers and tokenization","Instruments and market structure"))))</f>
        <v>AI</v>
      </c>
      <c r="N35" s="7" t="s">
        <v>289</v>
      </c>
      <c r="O35" s="7" t="s">
        <v>408</v>
      </c>
    </row>
    <row r="36" customFormat="false" ht="92.25" hidden="false" customHeight="true" outlineLevel="0" collapsed="false">
      <c r="A36" s="16" t="s">
        <v>409</v>
      </c>
      <c r="B36" s="7" t="s">
        <v>103</v>
      </c>
      <c r="C36" s="6" t="s">
        <v>410</v>
      </c>
      <c r="D36" s="7" t="s">
        <v>411</v>
      </c>
      <c r="E36" s="7" t="s">
        <v>412</v>
      </c>
      <c r="F36" s="7" t="s">
        <v>413</v>
      </c>
      <c r="G36" s="7" t="s">
        <v>414</v>
      </c>
      <c r="H36" s="7" t="s">
        <v>415</v>
      </c>
      <c r="I36" s="21" t="n">
        <v>3</v>
      </c>
      <c r="J36" s="21" t="n">
        <v>2</v>
      </c>
      <c r="K36" s="21" t="n">
        <v>1</v>
      </c>
      <c r="L36" s="19" t="n">
        <f aca="false">SUM(I36:K36)</f>
        <v>6</v>
      </c>
      <c r="M36" s="16" t="str">
        <f aca="false">IF(MAX(I36:K36)=0,"—",IF(COUNTIF(I36:K36,MAX(I36:K36))&gt;1,"Mixed",IF(I36=MAX(I36:K36),"AI",IF(J36=MAX(I36:K36),"Ledgers and tokenization","Instruments and market structure"))))</f>
        <v>AI</v>
      </c>
      <c r="N36" s="7" t="s">
        <v>416</v>
      </c>
      <c r="O36" s="7" t="s">
        <v>417</v>
      </c>
    </row>
    <row r="37" customFormat="false" ht="143.25" hidden="false" customHeight="true" outlineLevel="0" collapsed="false">
      <c r="A37" s="16" t="s">
        <v>418</v>
      </c>
      <c r="B37" s="7" t="s">
        <v>103</v>
      </c>
      <c r="C37" s="6" t="s">
        <v>419</v>
      </c>
      <c r="D37" s="7" t="s">
        <v>420</v>
      </c>
      <c r="E37" s="7" t="s">
        <v>421</v>
      </c>
      <c r="F37" s="7" t="s">
        <v>422</v>
      </c>
      <c r="G37" s="7" t="s">
        <v>423</v>
      </c>
      <c r="H37" s="7" t="s">
        <v>424</v>
      </c>
      <c r="I37" s="21" t="n">
        <v>1</v>
      </c>
      <c r="J37" s="21" t="n">
        <v>1</v>
      </c>
      <c r="K37" s="21" t="n">
        <v>3</v>
      </c>
      <c r="L37" s="19" t="n">
        <f aca="false">SUM(I37:K37)</f>
        <v>5</v>
      </c>
      <c r="M37" s="16" t="str">
        <f aca="false">IF(MAX(I37:K37)=0,"—",IF(COUNTIF(I37:K37,MAX(I37:K37))&gt;1,"Mixed",IF(I37=MAX(I37:K37),"AI",IF(J37=MAX(I37:K37),"Ledgers and tokenization","Instruments and market structure"))))</f>
        <v>Instruments and market structure</v>
      </c>
      <c r="N37" s="7" t="s">
        <v>425</v>
      </c>
      <c r="O37" s="7" t="s">
        <v>426</v>
      </c>
    </row>
    <row r="38" customFormat="false" ht="79.5" hidden="false" customHeight="true" outlineLevel="0" collapsed="false">
      <c r="A38" s="16" t="s">
        <v>427</v>
      </c>
      <c r="B38" s="7" t="s">
        <v>110</v>
      </c>
      <c r="C38" s="6" t="s">
        <v>428</v>
      </c>
      <c r="D38" s="7" t="s">
        <v>429</v>
      </c>
      <c r="E38" s="7" t="s">
        <v>430</v>
      </c>
      <c r="F38" s="7" t="s">
        <v>431</v>
      </c>
      <c r="G38" s="7" t="s">
        <v>432</v>
      </c>
      <c r="H38" s="7" t="s">
        <v>354</v>
      </c>
      <c r="I38" s="21" t="n">
        <v>3</v>
      </c>
      <c r="J38" s="21" t="n">
        <v>1</v>
      </c>
      <c r="K38" s="21" t="n">
        <v>0</v>
      </c>
      <c r="L38" s="19" t="n">
        <f aca="false">SUM(I38:K38)</f>
        <v>4</v>
      </c>
      <c r="M38" s="16" t="str">
        <f aca="false">IF(MAX(I38:K38)=0,"—",IF(COUNTIF(I38:K38,MAX(I38:K38))&gt;1,"Mixed",IF(I38=MAX(I38:K38),"AI",IF(J38=MAX(I38:K38),"Ledgers and tokenization","Instruments and market structure"))))</f>
        <v>AI</v>
      </c>
      <c r="N38" s="7" t="s">
        <v>433</v>
      </c>
      <c r="O38" s="7" t="s">
        <v>434</v>
      </c>
    </row>
    <row r="39" customFormat="false" ht="41.25" hidden="false" customHeight="true" outlineLevel="0" collapsed="false">
      <c r="A39" s="16" t="s">
        <v>435</v>
      </c>
      <c r="B39" s="7" t="s">
        <v>110</v>
      </c>
      <c r="C39" s="6" t="s">
        <v>436</v>
      </c>
      <c r="D39" s="7" t="s">
        <v>437</v>
      </c>
      <c r="E39" s="7" t="s">
        <v>438</v>
      </c>
      <c r="F39" s="7" t="s">
        <v>439</v>
      </c>
      <c r="G39" s="7" t="s">
        <v>440</v>
      </c>
      <c r="H39" s="7" t="s">
        <v>354</v>
      </c>
      <c r="I39" s="21" t="n">
        <v>3</v>
      </c>
      <c r="J39" s="21" t="n">
        <v>1</v>
      </c>
      <c r="K39" s="21" t="n">
        <v>0</v>
      </c>
      <c r="L39" s="19" t="n">
        <f aca="false">SUM(I39:K39)</f>
        <v>4</v>
      </c>
      <c r="M39" s="16" t="str">
        <f aca="false">IF(MAX(I39:K39)=0,"—",IF(COUNTIF(I39:K39,MAX(I39:K39))&gt;1,"Mixed",IF(I39=MAX(I39:K39),"AI",IF(J39=MAX(I39:K39),"Ledgers and tokenization","Instruments and market structure"))))</f>
        <v>AI</v>
      </c>
      <c r="N39" s="7" t="s">
        <v>441</v>
      </c>
      <c r="O39" s="7" t="s">
        <v>442</v>
      </c>
    </row>
    <row r="40" customFormat="false" ht="66.75" hidden="false" customHeight="true" outlineLevel="0" collapsed="false">
      <c r="A40" s="16" t="s">
        <v>443</v>
      </c>
      <c r="B40" s="7" t="s">
        <v>110</v>
      </c>
      <c r="C40" s="6" t="s">
        <v>444</v>
      </c>
      <c r="D40" s="7" t="s">
        <v>445</v>
      </c>
      <c r="E40" s="7" t="s">
        <v>446</v>
      </c>
      <c r="F40" s="7" t="s">
        <v>447</v>
      </c>
      <c r="G40" s="7" t="s">
        <v>448</v>
      </c>
      <c r="H40" s="7" t="s">
        <v>449</v>
      </c>
      <c r="I40" s="21" t="n">
        <v>3</v>
      </c>
      <c r="J40" s="21" t="n">
        <v>2</v>
      </c>
      <c r="K40" s="21" t="n">
        <v>2</v>
      </c>
      <c r="L40" s="19" t="n">
        <f aca="false">SUM(I40:K40)</f>
        <v>7</v>
      </c>
      <c r="M40" s="16" t="str">
        <f aca="false">IF(MAX(I40:K40)=0,"—",IF(COUNTIF(I40:K40,MAX(I40:K40))&gt;1,"Mixed",IF(I40=MAX(I40:K40),"AI",IF(J40=MAX(I40:K40),"Ledgers and tokenization","Instruments and market structure"))))</f>
        <v>AI</v>
      </c>
      <c r="N40" s="7" t="s">
        <v>441</v>
      </c>
      <c r="O40" s="7" t="s">
        <v>450</v>
      </c>
    </row>
    <row r="41" customFormat="false" ht="41.25" hidden="false" customHeight="true" outlineLevel="0" collapsed="false">
      <c r="A41" s="16" t="s">
        <v>451</v>
      </c>
      <c r="B41" s="7" t="s">
        <v>110</v>
      </c>
      <c r="C41" s="6" t="s">
        <v>452</v>
      </c>
      <c r="D41" s="7" t="s">
        <v>453</v>
      </c>
      <c r="E41" s="7" t="s">
        <v>454</v>
      </c>
      <c r="F41" s="7" t="s">
        <v>455</v>
      </c>
      <c r="G41" s="7" t="s">
        <v>456</v>
      </c>
      <c r="H41" s="7" t="s">
        <v>457</v>
      </c>
      <c r="I41" s="21" t="n">
        <v>2</v>
      </c>
      <c r="J41" s="21" t="n">
        <v>1</v>
      </c>
      <c r="K41" s="21" t="n">
        <v>1</v>
      </c>
      <c r="L41" s="19" t="n">
        <f aca="false">SUM(I41:K41)</f>
        <v>4</v>
      </c>
      <c r="M41" s="16" t="str">
        <f aca="false">IF(MAX(I41:K41)=0,"—",IF(COUNTIF(I41:K41,MAX(I41:K41))&gt;1,"Mixed",IF(I41=MAX(I41:K41),"AI",IF(J41=MAX(I41:K41),"Ledgers and tokenization","Instruments and market structure"))))</f>
        <v>AI</v>
      </c>
      <c r="N41" s="7" t="s">
        <v>458</v>
      </c>
      <c r="O41" s="7" t="s">
        <v>459</v>
      </c>
    </row>
    <row r="42" customFormat="false" ht="79.5" hidden="false" customHeight="true" outlineLevel="0" collapsed="false">
      <c r="A42" s="16" t="s">
        <v>460</v>
      </c>
      <c r="B42" s="7" t="s">
        <v>110</v>
      </c>
      <c r="C42" s="6" t="s">
        <v>461</v>
      </c>
      <c r="D42" s="7" t="s">
        <v>462</v>
      </c>
      <c r="E42" s="7" t="s">
        <v>463</v>
      </c>
      <c r="F42" s="7" t="s">
        <v>439</v>
      </c>
      <c r="G42" s="7" t="s">
        <v>464</v>
      </c>
      <c r="H42" s="7" t="s">
        <v>465</v>
      </c>
      <c r="I42" s="21" t="n">
        <v>3</v>
      </c>
      <c r="J42" s="21" t="n">
        <v>1</v>
      </c>
      <c r="K42" s="21" t="n">
        <v>1</v>
      </c>
      <c r="L42" s="19" t="n">
        <f aca="false">SUM(I42:K42)</f>
        <v>5</v>
      </c>
      <c r="M42" s="16" t="str">
        <f aca="false">IF(MAX(I42:K42)=0,"—",IF(COUNTIF(I42:K42,MAX(I42:K42))&gt;1,"Mixed",IF(I42=MAX(I42:K42),"AI",IF(J42=MAX(I42:K42),"Ledgers and tokenization","Instruments and market structure"))))</f>
        <v>AI</v>
      </c>
      <c r="N42" s="7" t="s">
        <v>466</v>
      </c>
      <c r="O42" s="7" t="s">
        <v>467</v>
      </c>
    </row>
    <row r="43" customFormat="false" ht="79.5" hidden="false" customHeight="true" outlineLevel="0" collapsed="false">
      <c r="A43" s="16" t="s">
        <v>468</v>
      </c>
      <c r="B43" s="7" t="s">
        <v>110</v>
      </c>
      <c r="C43" s="6" t="s">
        <v>469</v>
      </c>
      <c r="D43" s="7" t="s">
        <v>470</v>
      </c>
      <c r="E43" s="7" t="s">
        <v>471</v>
      </c>
      <c r="F43" s="7" t="s">
        <v>472</v>
      </c>
      <c r="G43" s="7" t="s">
        <v>473</v>
      </c>
      <c r="H43" s="7" t="s">
        <v>474</v>
      </c>
      <c r="I43" s="21" t="n">
        <v>3</v>
      </c>
      <c r="J43" s="21" t="n">
        <v>3</v>
      </c>
      <c r="K43" s="21" t="n">
        <v>3</v>
      </c>
      <c r="L43" s="19" t="n">
        <f aca="false">SUM(I43:K43)</f>
        <v>9</v>
      </c>
      <c r="M43" s="16" t="str">
        <f aca="false">IF(MAX(I43:K43)=0,"—",IF(COUNTIF(I43:K43,MAX(I43:K43))&gt;1,"Mixed",IF(I43=MAX(I43:K43),"AI",IF(J43=MAX(I43:K43),"Ledgers and tokenization","Instruments and market structure"))))</f>
        <v>Mixed</v>
      </c>
      <c r="N43" s="7" t="s">
        <v>171</v>
      </c>
      <c r="O43" s="7" t="s">
        <v>475</v>
      </c>
    </row>
    <row r="44" customFormat="false" ht="54" hidden="false" customHeight="true" outlineLevel="0" collapsed="false">
      <c r="A44" s="16" t="s">
        <v>476</v>
      </c>
      <c r="B44" s="7" t="s">
        <v>116</v>
      </c>
      <c r="C44" s="6" t="s">
        <v>477</v>
      </c>
      <c r="D44" s="7" t="s">
        <v>478</v>
      </c>
      <c r="E44" s="7" t="s">
        <v>479</v>
      </c>
      <c r="F44" s="7" t="s">
        <v>480</v>
      </c>
      <c r="G44" s="7" t="s">
        <v>481</v>
      </c>
      <c r="H44" s="7" t="s">
        <v>482</v>
      </c>
      <c r="I44" s="21" t="n">
        <v>1</v>
      </c>
      <c r="J44" s="21" t="n">
        <v>3</v>
      </c>
      <c r="K44" s="21" t="n">
        <v>2</v>
      </c>
      <c r="L44" s="19" t="n">
        <f aca="false">SUM(I44:K44)</f>
        <v>6</v>
      </c>
      <c r="M44" s="16" t="str">
        <f aca="false">IF(MAX(I44:K44)=0,"—",IF(COUNTIF(I44:K44,MAX(I44:K44))&gt;1,"Mixed",IF(I44=MAX(I44:K44),"AI",IF(J44=MAX(I44:K44),"Ledgers and tokenization","Instruments and market structure"))))</f>
        <v>Ledgers and tokenization</v>
      </c>
      <c r="N44" s="7" t="s">
        <v>171</v>
      </c>
      <c r="O44" s="7" t="s">
        <v>171</v>
      </c>
    </row>
    <row r="45" customFormat="false" ht="54" hidden="false" customHeight="true" outlineLevel="0" collapsed="false">
      <c r="A45" s="16" t="s">
        <v>483</v>
      </c>
      <c r="B45" s="7" t="s">
        <v>116</v>
      </c>
      <c r="C45" s="6" t="s">
        <v>484</v>
      </c>
      <c r="D45" s="7" t="s">
        <v>485</v>
      </c>
      <c r="E45" s="7" t="s">
        <v>486</v>
      </c>
      <c r="F45" s="7" t="s">
        <v>487</v>
      </c>
      <c r="G45" s="7" t="s">
        <v>488</v>
      </c>
      <c r="H45" s="7" t="s">
        <v>489</v>
      </c>
      <c r="I45" s="21" t="n">
        <v>1</v>
      </c>
      <c r="J45" s="21" t="n">
        <v>3</v>
      </c>
      <c r="K45" s="21" t="n">
        <v>2</v>
      </c>
      <c r="L45" s="19" t="n">
        <f aca="false">SUM(I45:K45)</f>
        <v>6</v>
      </c>
      <c r="M45" s="16" t="str">
        <f aca="false">IF(MAX(I45:K45)=0,"—",IF(COUNTIF(I45:K45,MAX(I45:K45))&gt;1,"Mixed",IF(I45=MAX(I45:K45),"AI",IF(J45=MAX(I45:K45),"Ledgers and tokenization","Instruments and market structure"))))</f>
        <v>Ledgers and tokenization</v>
      </c>
      <c r="N45" s="7" t="s">
        <v>490</v>
      </c>
      <c r="O45" s="7" t="s">
        <v>491</v>
      </c>
    </row>
    <row r="46" customFormat="false" ht="92.25" hidden="false" customHeight="true" outlineLevel="0" collapsed="false">
      <c r="A46" s="16" t="s">
        <v>492</v>
      </c>
      <c r="B46" s="7" t="s">
        <v>116</v>
      </c>
      <c r="C46" s="6" t="s">
        <v>493</v>
      </c>
      <c r="D46" s="7" t="s">
        <v>494</v>
      </c>
      <c r="E46" s="7" t="s">
        <v>495</v>
      </c>
      <c r="F46" s="7" t="s">
        <v>496</v>
      </c>
      <c r="G46" s="7" t="s">
        <v>497</v>
      </c>
      <c r="H46" s="7" t="s">
        <v>498</v>
      </c>
      <c r="I46" s="21" t="n">
        <v>1</v>
      </c>
      <c r="J46" s="21" t="n">
        <v>2</v>
      </c>
      <c r="K46" s="21" t="n">
        <v>3</v>
      </c>
      <c r="L46" s="19" t="n">
        <f aca="false">SUM(I46:K46)</f>
        <v>6</v>
      </c>
      <c r="M46" s="16" t="str">
        <f aca="false">IF(MAX(I46:K46)=0,"—",IF(COUNTIF(I46:K46,MAX(I46:K46))&gt;1,"Mixed",IF(I46=MAX(I46:K46),"AI",IF(J46=MAX(I46:K46),"Ledgers and tokenization","Instruments and market structure"))))</f>
        <v>Instruments and market structure</v>
      </c>
      <c r="N46" s="7" t="s">
        <v>499</v>
      </c>
      <c r="O46" s="7" t="s">
        <v>118</v>
      </c>
    </row>
    <row r="47" customFormat="false" ht="54" hidden="false" customHeight="true" outlineLevel="0" collapsed="false">
      <c r="A47" s="16" t="s">
        <v>500</v>
      </c>
      <c r="B47" s="7" t="s">
        <v>116</v>
      </c>
      <c r="C47" s="6" t="s">
        <v>501</v>
      </c>
      <c r="D47" s="7" t="s">
        <v>502</v>
      </c>
      <c r="E47" s="7" t="s">
        <v>503</v>
      </c>
      <c r="F47" s="7" t="s">
        <v>504</v>
      </c>
      <c r="G47" s="7" t="s">
        <v>505</v>
      </c>
      <c r="H47" s="7" t="s">
        <v>506</v>
      </c>
      <c r="I47" s="21" t="n">
        <v>1</v>
      </c>
      <c r="J47" s="21" t="n">
        <v>1</v>
      </c>
      <c r="K47" s="21" t="n">
        <v>3</v>
      </c>
      <c r="L47" s="19" t="n">
        <f aca="false">SUM(I47:K47)</f>
        <v>5</v>
      </c>
      <c r="M47" s="16" t="str">
        <f aca="false">IF(MAX(I47:K47)=0,"—",IF(COUNTIF(I47:K47,MAX(I47:K47))&gt;1,"Mixed",IF(I47=MAX(I47:K47),"AI",IF(J47=MAX(I47:K47),"Ledgers and tokenization","Instruments and market structure"))))</f>
        <v>Instruments and market structure</v>
      </c>
      <c r="N47" s="7" t="s">
        <v>171</v>
      </c>
      <c r="O47" s="7" t="s">
        <v>507</v>
      </c>
    </row>
    <row r="48" customFormat="false" ht="66.75" hidden="false" customHeight="true" outlineLevel="0" collapsed="false">
      <c r="A48" s="16" t="s">
        <v>508</v>
      </c>
      <c r="B48" s="7" t="s">
        <v>122</v>
      </c>
      <c r="C48" s="6" t="s">
        <v>509</v>
      </c>
      <c r="D48" s="7" t="s">
        <v>510</v>
      </c>
      <c r="E48" s="7" t="s">
        <v>511</v>
      </c>
      <c r="F48" s="7" t="s">
        <v>512</v>
      </c>
      <c r="G48" s="7" t="s">
        <v>439</v>
      </c>
      <c r="H48" s="7" t="s">
        <v>513</v>
      </c>
      <c r="I48" s="21" t="n">
        <v>1</v>
      </c>
      <c r="J48" s="21" t="n">
        <v>3</v>
      </c>
      <c r="K48" s="21" t="n">
        <v>2</v>
      </c>
      <c r="L48" s="19" t="n">
        <f aca="false">SUM(I48:K48)</f>
        <v>6</v>
      </c>
      <c r="M48" s="16" t="str">
        <f aca="false">IF(MAX(I48:K48)=0,"—",IF(COUNTIF(I48:K48,MAX(I48:K48))&gt;1,"Mixed",IF(I48=MAX(I48:K48),"AI",IF(J48=MAX(I48:K48),"Ledgers and tokenization","Instruments and market structure"))))</f>
        <v>Ledgers and tokenization</v>
      </c>
      <c r="N48" s="7" t="s">
        <v>514</v>
      </c>
      <c r="O48" s="7" t="s">
        <v>515</v>
      </c>
    </row>
    <row r="49" customFormat="false" ht="54" hidden="false" customHeight="true" outlineLevel="0" collapsed="false">
      <c r="A49" s="16" t="s">
        <v>516</v>
      </c>
      <c r="B49" s="7" t="s">
        <v>122</v>
      </c>
      <c r="C49" s="6" t="s">
        <v>517</v>
      </c>
      <c r="D49" s="7" t="s">
        <v>518</v>
      </c>
      <c r="E49" s="7" t="s">
        <v>519</v>
      </c>
      <c r="F49" s="7" t="s">
        <v>520</v>
      </c>
      <c r="G49" s="7" t="s">
        <v>439</v>
      </c>
      <c r="H49" s="7" t="s">
        <v>521</v>
      </c>
      <c r="I49" s="21" t="n">
        <v>1</v>
      </c>
      <c r="J49" s="21" t="n">
        <v>3</v>
      </c>
      <c r="K49" s="21" t="n">
        <v>2</v>
      </c>
      <c r="L49" s="19" t="n">
        <f aca="false">SUM(I49:K49)</f>
        <v>6</v>
      </c>
      <c r="M49" s="16" t="str">
        <f aca="false">IF(MAX(I49:K49)=0,"—",IF(COUNTIF(I49:K49,MAX(I49:K49))&gt;1,"Mixed",IF(I49=MAX(I49:K49),"AI",IF(J49=MAX(I49:K49),"Ledgers and tokenization","Instruments and market structure"))))</f>
        <v>Ledgers and tokenization</v>
      </c>
      <c r="N49" s="7" t="s">
        <v>339</v>
      </c>
      <c r="O49" s="7" t="s">
        <v>124</v>
      </c>
    </row>
    <row r="50" customFormat="false" ht="66.75" hidden="false" customHeight="true" outlineLevel="0" collapsed="false">
      <c r="A50" s="16" t="s">
        <v>522</v>
      </c>
      <c r="B50" s="7" t="s">
        <v>122</v>
      </c>
      <c r="C50" s="6" t="s">
        <v>523</v>
      </c>
      <c r="D50" s="7" t="s">
        <v>524</v>
      </c>
      <c r="E50" s="7" t="s">
        <v>525</v>
      </c>
      <c r="F50" s="7" t="s">
        <v>526</v>
      </c>
      <c r="G50" s="7" t="s">
        <v>439</v>
      </c>
      <c r="H50" s="7" t="s">
        <v>527</v>
      </c>
      <c r="I50" s="21" t="n">
        <v>1</v>
      </c>
      <c r="J50" s="21" t="n">
        <v>3</v>
      </c>
      <c r="K50" s="21" t="n">
        <v>3</v>
      </c>
      <c r="L50" s="19" t="n">
        <f aca="false">SUM(I50:K50)</f>
        <v>7</v>
      </c>
      <c r="M50" s="16" t="str">
        <f aca="false">IF(MAX(I50:K50)=0,"—",IF(COUNTIF(I50:K50,MAX(I50:K50))&gt;1,"Mixed",IF(I50=MAX(I50:K50),"AI",IF(J50=MAX(I50:K50),"Ledgers and tokenization","Instruments and market structure"))))</f>
        <v>Mixed</v>
      </c>
      <c r="N50" s="7" t="s">
        <v>528</v>
      </c>
      <c r="O50" s="7" t="s">
        <v>171</v>
      </c>
    </row>
    <row r="51" customFormat="false" ht="66.75" hidden="false" customHeight="true" outlineLevel="0" collapsed="false">
      <c r="A51" s="16" t="s">
        <v>529</v>
      </c>
      <c r="B51" s="7" t="s">
        <v>122</v>
      </c>
      <c r="C51" s="6" t="s">
        <v>530</v>
      </c>
      <c r="D51" s="7" t="s">
        <v>531</v>
      </c>
      <c r="E51" s="7" t="s">
        <v>532</v>
      </c>
      <c r="F51" s="7" t="s">
        <v>533</v>
      </c>
      <c r="G51" s="7" t="s">
        <v>534</v>
      </c>
      <c r="H51" s="7" t="s">
        <v>439</v>
      </c>
      <c r="I51" s="21" t="n">
        <v>2</v>
      </c>
      <c r="J51" s="21" t="n">
        <v>2</v>
      </c>
      <c r="K51" s="21" t="n">
        <v>3</v>
      </c>
      <c r="L51" s="19" t="n">
        <f aca="false">SUM(I51:K51)</f>
        <v>7</v>
      </c>
      <c r="M51" s="16" t="str">
        <f aca="false">IF(MAX(I51:K51)=0,"—",IF(COUNTIF(I51:K51,MAX(I51:K51))&gt;1,"Mixed",IF(I51=MAX(I51:K51),"AI",IF(J51=MAX(I51:K51),"Ledgers and tokenization","Instruments and market structure"))))</f>
        <v>Instruments and market structure</v>
      </c>
      <c r="N51" s="7" t="s">
        <v>535</v>
      </c>
      <c r="O51" s="7" t="s">
        <v>536</v>
      </c>
    </row>
    <row r="52" customFormat="false" ht="79.5" hidden="false" customHeight="true" outlineLevel="0" collapsed="false">
      <c r="A52" s="16" t="s">
        <v>537</v>
      </c>
      <c r="B52" s="7" t="s">
        <v>122</v>
      </c>
      <c r="C52" s="6" t="s">
        <v>538</v>
      </c>
      <c r="D52" s="7" t="s">
        <v>539</v>
      </c>
      <c r="E52" s="7" t="s">
        <v>540</v>
      </c>
      <c r="F52" s="7" t="s">
        <v>541</v>
      </c>
      <c r="G52" s="7" t="s">
        <v>439</v>
      </c>
      <c r="H52" s="7" t="s">
        <v>542</v>
      </c>
      <c r="I52" s="21" t="n">
        <v>1</v>
      </c>
      <c r="J52" s="21" t="n">
        <v>3</v>
      </c>
      <c r="K52" s="21" t="n">
        <v>1</v>
      </c>
      <c r="L52" s="19" t="n">
        <f aca="false">SUM(I52:K52)</f>
        <v>5</v>
      </c>
      <c r="M52" s="16" t="str">
        <f aca="false">IF(MAX(I52:K52)=0,"—",IF(COUNTIF(I52:K52,MAX(I52:K52))&gt;1,"Mixed",IF(I52=MAX(I52:K52),"AI",IF(J52=MAX(I52:K52),"Ledgers and tokenization","Instruments and market structure"))))</f>
        <v>Ledgers and tokenization</v>
      </c>
      <c r="N52" s="7" t="s">
        <v>514</v>
      </c>
      <c r="O52" s="7" t="s">
        <v>171</v>
      </c>
    </row>
    <row r="53" customFormat="false" ht="66.75" hidden="false" customHeight="true" outlineLevel="0" collapsed="false">
      <c r="A53" s="16" t="s">
        <v>543</v>
      </c>
      <c r="B53" s="7" t="s">
        <v>122</v>
      </c>
      <c r="C53" s="6" t="s">
        <v>544</v>
      </c>
      <c r="D53" s="7" t="s">
        <v>545</v>
      </c>
      <c r="E53" s="7" t="s">
        <v>546</v>
      </c>
      <c r="F53" s="7" t="s">
        <v>547</v>
      </c>
      <c r="G53" s="7" t="s">
        <v>439</v>
      </c>
      <c r="H53" s="7" t="s">
        <v>548</v>
      </c>
      <c r="I53" s="21" t="n">
        <v>1</v>
      </c>
      <c r="J53" s="21" t="n">
        <v>3</v>
      </c>
      <c r="K53" s="21" t="n">
        <v>2</v>
      </c>
      <c r="L53" s="19" t="n">
        <f aca="false">SUM(I53:K53)</f>
        <v>6</v>
      </c>
      <c r="M53" s="16" t="str">
        <f aca="false">IF(MAX(I53:K53)=0,"—",IF(COUNTIF(I53:K53,MAX(I53:K53))&gt;1,"Mixed",IF(I53=MAX(I53:K53),"AI",IF(J53=MAX(I53:K53),"Ledgers and tokenization","Instruments and market structure"))))</f>
        <v>Ledgers and tokenization</v>
      </c>
      <c r="N53" s="7" t="s">
        <v>171</v>
      </c>
      <c r="O53" s="7" t="s">
        <v>171</v>
      </c>
    </row>
  </sheetData>
  <autoFilter ref="A4:O53"/>
  <mergeCells count="1">
    <mergeCell ref="A2:O2"/>
  </mergeCells>
  <conditionalFormatting sqref="I5:K53">
    <cfRule type="cellIs" priority="2" operator="equal" aboveAverage="0" equalAverage="0" bottom="0" percent="0" rank="0" text="" dxfId="17">
      <formula>1</formula>
    </cfRule>
    <cfRule type="cellIs" priority="3" operator="equal" aboveAverage="0" equalAverage="0" bottom="0" percent="0" rank="0" text="" dxfId="18">
      <formula>2</formula>
    </cfRule>
    <cfRule type="cellIs" priority="4" operator="equal" aboveAverage="0" equalAverage="0" bottom="0" percent="0" rank="0" text="" dxfId="19">
      <formula>3</formula>
    </cfRule>
  </conditionalFormatting>
  <conditionalFormatting sqref="L5:L53">
    <cfRule type="colorScale" priority="5">
      <colorScale>
        <cfvo type="num" val="0"/>
        <cfvo type="num" val="9"/>
        <color rgb="FFFFFFFF"/>
        <color rgb="FF8EA9C1"/>
      </colorScale>
    </cfRule>
  </conditionalFormatting>
  <dataValidations count="1">
    <dataValidation allowBlank="false" errorStyle="stop" operator="between" showDropDown="false" showErrorMessage="false" showInputMessage="false" sqref="I5:K53" type="whole">
      <formula1>0</formula1>
      <formula2>3</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K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32"/>
    <col collapsed="false" customWidth="true" hidden="false" outlineLevel="0" max="5" min="4" style="0" width="46"/>
    <col collapsed="false" customWidth="true" hidden="false" outlineLevel="0" max="6" min="6" style="0" width="18"/>
    <col collapsed="false" customWidth="true" hidden="false" outlineLevel="0" max="7" min="7" style="0" width="10"/>
    <col collapsed="false" customWidth="true" hidden="false" outlineLevel="0" max="8" min="8" style="0" width="34"/>
    <col collapsed="false" customWidth="true" hidden="false" outlineLevel="0" max="9" min="9" style="0" width="32"/>
    <col collapsed="false" customWidth="true" hidden="false" outlineLevel="0" max="10" min="10" style="0" width="40"/>
    <col collapsed="false" customWidth="true" hidden="false" outlineLevel="0" max="11" min="11" style="0" width="14"/>
  </cols>
  <sheetData>
    <row r="1" customFormat="false" ht="24" hidden="false" customHeight="true" outlineLevel="0" collapsed="false">
      <c r="A1" s="1" t="s">
        <v>549</v>
      </c>
    </row>
    <row r="2" customFormat="false" ht="30" hidden="false" customHeight="true" outlineLevel="0" collapsed="false">
      <c r="A2" s="2" t="s">
        <v>550</v>
      </c>
      <c r="B2" s="2"/>
      <c r="C2" s="2"/>
      <c r="D2" s="2"/>
      <c r="E2" s="2"/>
      <c r="F2" s="2"/>
      <c r="G2" s="2"/>
      <c r="H2" s="2"/>
      <c r="I2" s="2"/>
      <c r="J2" s="2"/>
      <c r="K2" s="2"/>
    </row>
    <row r="4" customFormat="false" ht="30" hidden="false" customHeight="true" outlineLevel="0" collapsed="false">
      <c r="A4" s="5" t="s">
        <v>45</v>
      </c>
      <c r="B4" s="5" t="s">
        <v>32</v>
      </c>
      <c r="C4" s="5" t="s">
        <v>551</v>
      </c>
      <c r="D4" s="5" t="s">
        <v>552</v>
      </c>
      <c r="E4" s="5" t="s">
        <v>553</v>
      </c>
      <c r="F4" s="5" t="s">
        <v>554</v>
      </c>
      <c r="G4" s="5" t="s">
        <v>555</v>
      </c>
      <c r="H4" s="5" t="s">
        <v>26</v>
      </c>
      <c r="I4" s="5" t="s">
        <v>556</v>
      </c>
      <c r="J4" s="5" t="s">
        <v>557</v>
      </c>
      <c r="K4" s="5" t="s">
        <v>61</v>
      </c>
    </row>
    <row r="5" customFormat="false" ht="54" hidden="false" customHeight="true" outlineLevel="0" collapsed="false">
      <c r="A5" s="16" t="s">
        <v>558</v>
      </c>
      <c r="B5" s="7" t="s">
        <v>39</v>
      </c>
      <c r="C5" s="6" t="s">
        <v>559</v>
      </c>
      <c r="D5" s="7" t="s">
        <v>560</v>
      </c>
      <c r="E5" s="7" t="s">
        <v>561</v>
      </c>
      <c r="F5" s="7" t="s">
        <v>562</v>
      </c>
      <c r="G5" s="16" t="s">
        <v>33</v>
      </c>
      <c r="H5" s="7" t="s">
        <v>563</v>
      </c>
      <c r="I5" s="7" t="s">
        <v>564</v>
      </c>
      <c r="J5" s="7" t="s">
        <v>565</v>
      </c>
      <c r="K5" s="18" t="s">
        <v>566</v>
      </c>
    </row>
    <row r="6" customFormat="false" ht="79.5" hidden="false" customHeight="true" outlineLevel="0" collapsed="false">
      <c r="A6" s="16" t="s">
        <v>567</v>
      </c>
      <c r="B6" s="7" t="s">
        <v>39</v>
      </c>
      <c r="C6" s="6" t="s">
        <v>568</v>
      </c>
      <c r="D6" s="7" t="s">
        <v>569</v>
      </c>
      <c r="E6" s="7" t="s">
        <v>570</v>
      </c>
      <c r="F6" s="7" t="s">
        <v>562</v>
      </c>
      <c r="G6" s="16" t="s">
        <v>33</v>
      </c>
      <c r="H6" s="7" t="s">
        <v>571</v>
      </c>
      <c r="I6" s="7" t="s">
        <v>572</v>
      </c>
      <c r="J6" s="7" t="s">
        <v>573</v>
      </c>
      <c r="K6" s="18" t="s">
        <v>566</v>
      </c>
    </row>
    <row r="7" customFormat="false" ht="79.5" hidden="false" customHeight="true" outlineLevel="0" collapsed="false">
      <c r="A7" s="16" t="s">
        <v>574</v>
      </c>
      <c r="B7" s="7" t="s">
        <v>39</v>
      </c>
      <c r="C7" s="6" t="s">
        <v>575</v>
      </c>
      <c r="D7" s="7" t="s">
        <v>576</v>
      </c>
      <c r="E7" s="7" t="s">
        <v>577</v>
      </c>
      <c r="F7" s="7" t="s">
        <v>562</v>
      </c>
      <c r="G7" s="16" t="s">
        <v>34</v>
      </c>
      <c r="H7" s="7" t="s">
        <v>578</v>
      </c>
      <c r="I7" s="7" t="s">
        <v>579</v>
      </c>
      <c r="J7" s="7" t="s">
        <v>580</v>
      </c>
      <c r="K7" s="18" t="s">
        <v>566</v>
      </c>
    </row>
    <row r="8" customFormat="false" ht="54" hidden="false" customHeight="true" outlineLevel="0" collapsed="false">
      <c r="A8" s="16" t="s">
        <v>581</v>
      </c>
      <c r="B8" s="7" t="s">
        <v>39</v>
      </c>
      <c r="C8" s="6" t="s">
        <v>582</v>
      </c>
      <c r="D8" s="7" t="s">
        <v>583</v>
      </c>
      <c r="E8" s="7" t="s">
        <v>584</v>
      </c>
      <c r="F8" s="7" t="s">
        <v>585</v>
      </c>
      <c r="G8" s="16" t="s">
        <v>34</v>
      </c>
      <c r="H8" s="7" t="s">
        <v>586</v>
      </c>
      <c r="I8" s="7" t="s">
        <v>587</v>
      </c>
      <c r="J8" s="7" t="s">
        <v>588</v>
      </c>
      <c r="K8" s="18" t="s">
        <v>566</v>
      </c>
    </row>
    <row r="9" customFormat="false" ht="54" hidden="false" customHeight="true" outlineLevel="0" collapsed="false">
      <c r="A9" s="16" t="s">
        <v>589</v>
      </c>
      <c r="B9" s="7" t="s">
        <v>39</v>
      </c>
      <c r="C9" s="6" t="s">
        <v>590</v>
      </c>
      <c r="D9" s="7" t="s">
        <v>591</v>
      </c>
      <c r="E9" s="7" t="s">
        <v>592</v>
      </c>
      <c r="F9" s="7" t="s">
        <v>593</v>
      </c>
      <c r="G9" s="16" t="s">
        <v>33</v>
      </c>
      <c r="H9" s="7" t="s">
        <v>594</v>
      </c>
      <c r="I9" s="7" t="s">
        <v>595</v>
      </c>
      <c r="J9" s="7" t="s">
        <v>596</v>
      </c>
      <c r="K9" s="18" t="s">
        <v>566</v>
      </c>
    </row>
    <row r="10" customFormat="false" ht="28.5" hidden="false" customHeight="true" outlineLevel="0" collapsed="false">
      <c r="A10" s="16" t="s">
        <v>597</v>
      </c>
      <c r="B10" s="7" t="s">
        <v>39</v>
      </c>
      <c r="C10" s="6" t="s">
        <v>598</v>
      </c>
      <c r="D10" s="7" t="s">
        <v>599</v>
      </c>
      <c r="E10" s="7" t="s">
        <v>600</v>
      </c>
      <c r="F10" s="7" t="s">
        <v>593</v>
      </c>
      <c r="G10" s="16" t="s">
        <v>33</v>
      </c>
      <c r="H10" s="7" t="s">
        <v>601</v>
      </c>
      <c r="I10" s="7" t="s">
        <v>272</v>
      </c>
      <c r="J10" s="7" t="s">
        <v>602</v>
      </c>
      <c r="K10" s="18" t="s">
        <v>566</v>
      </c>
    </row>
    <row r="11" customFormat="false" ht="66.75" hidden="false" customHeight="true" outlineLevel="0" collapsed="false">
      <c r="A11" s="16" t="s">
        <v>603</v>
      </c>
      <c r="B11" s="7" t="s">
        <v>39</v>
      </c>
      <c r="C11" s="6" t="s">
        <v>604</v>
      </c>
      <c r="D11" s="7" t="s">
        <v>605</v>
      </c>
      <c r="E11" s="7" t="s">
        <v>606</v>
      </c>
      <c r="F11" s="7" t="s">
        <v>585</v>
      </c>
      <c r="G11" s="16" t="s">
        <v>33</v>
      </c>
      <c r="H11" s="7" t="s">
        <v>607</v>
      </c>
      <c r="I11" s="7" t="s">
        <v>608</v>
      </c>
      <c r="J11" s="7" t="s">
        <v>609</v>
      </c>
      <c r="K11" s="18" t="s">
        <v>566</v>
      </c>
    </row>
    <row r="12" customFormat="false" ht="66.75" hidden="false" customHeight="true" outlineLevel="0" collapsed="false">
      <c r="A12" s="16" t="s">
        <v>610</v>
      </c>
      <c r="B12" s="7" t="s">
        <v>39</v>
      </c>
      <c r="C12" s="6" t="s">
        <v>611</v>
      </c>
      <c r="D12" s="7" t="s">
        <v>612</v>
      </c>
      <c r="E12" s="7" t="s">
        <v>613</v>
      </c>
      <c r="F12" s="7" t="s">
        <v>614</v>
      </c>
      <c r="G12" s="16" t="s">
        <v>33</v>
      </c>
      <c r="H12" s="7" t="s">
        <v>615</v>
      </c>
      <c r="I12" s="7" t="s">
        <v>222</v>
      </c>
      <c r="J12" s="7" t="s">
        <v>616</v>
      </c>
      <c r="K12" s="18" t="s">
        <v>566</v>
      </c>
    </row>
    <row r="13" customFormat="false" ht="79.5" hidden="false" customHeight="true" outlineLevel="0" collapsed="false">
      <c r="A13" s="16" t="s">
        <v>617</v>
      </c>
      <c r="B13" s="7" t="s">
        <v>39</v>
      </c>
      <c r="C13" s="6" t="s">
        <v>618</v>
      </c>
      <c r="D13" s="7" t="s">
        <v>619</v>
      </c>
      <c r="E13" s="7" t="s">
        <v>620</v>
      </c>
      <c r="F13" s="7" t="s">
        <v>593</v>
      </c>
      <c r="G13" s="16" t="s">
        <v>33</v>
      </c>
      <c r="H13" s="7" t="s">
        <v>621</v>
      </c>
      <c r="I13" s="7" t="s">
        <v>622</v>
      </c>
      <c r="J13" s="7" t="s">
        <v>623</v>
      </c>
      <c r="K13" s="18" t="s">
        <v>566</v>
      </c>
    </row>
    <row r="14" customFormat="false" ht="41.25" hidden="false" customHeight="true" outlineLevel="0" collapsed="false">
      <c r="A14" s="16" t="s">
        <v>624</v>
      </c>
      <c r="B14" s="7" t="s">
        <v>39</v>
      </c>
      <c r="C14" s="6" t="s">
        <v>625</v>
      </c>
      <c r="D14" s="7" t="s">
        <v>626</v>
      </c>
      <c r="E14" s="7" t="s">
        <v>627</v>
      </c>
      <c r="F14" s="7" t="s">
        <v>628</v>
      </c>
      <c r="G14" s="16" t="s">
        <v>34</v>
      </c>
      <c r="H14" s="7" t="s">
        <v>629</v>
      </c>
      <c r="I14" s="7" t="s">
        <v>630</v>
      </c>
      <c r="J14" s="7" t="s">
        <v>631</v>
      </c>
      <c r="K14" s="18" t="s">
        <v>566</v>
      </c>
    </row>
    <row r="15" customFormat="false" ht="41.25" hidden="false" customHeight="true" outlineLevel="0" collapsed="false">
      <c r="A15" s="16" t="s">
        <v>632</v>
      </c>
      <c r="B15" s="7" t="s">
        <v>39</v>
      </c>
      <c r="C15" s="6" t="s">
        <v>633</v>
      </c>
      <c r="D15" s="7" t="s">
        <v>634</v>
      </c>
      <c r="E15" s="7" t="s">
        <v>635</v>
      </c>
      <c r="F15" s="7" t="s">
        <v>585</v>
      </c>
      <c r="G15" s="16" t="s">
        <v>34</v>
      </c>
      <c r="H15" s="7" t="s">
        <v>636</v>
      </c>
      <c r="I15" s="7" t="s">
        <v>637</v>
      </c>
      <c r="J15" s="7" t="s">
        <v>638</v>
      </c>
      <c r="K15" s="18" t="s">
        <v>566</v>
      </c>
    </row>
    <row r="16" customFormat="false" ht="41.25" hidden="false" customHeight="true" outlineLevel="0" collapsed="false">
      <c r="A16" s="16" t="s">
        <v>639</v>
      </c>
      <c r="B16" s="7" t="s">
        <v>39</v>
      </c>
      <c r="C16" s="6" t="s">
        <v>640</v>
      </c>
      <c r="D16" s="7" t="s">
        <v>641</v>
      </c>
      <c r="E16" s="7" t="s">
        <v>642</v>
      </c>
      <c r="F16" s="7" t="s">
        <v>614</v>
      </c>
      <c r="G16" s="16" t="s">
        <v>34</v>
      </c>
      <c r="H16" s="7" t="s">
        <v>643</v>
      </c>
      <c r="I16" s="7" t="s">
        <v>644</v>
      </c>
      <c r="J16" s="7" t="s">
        <v>645</v>
      </c>
      <c r="K16" s="18" t="s">
        <v>566</v>
      </c>
    </row>
    <row r="17" customFormat="false" ht="54" hidden="false" customHeight="true" outlineLevel="0" collapsed="false">
      <c r="A17" s="16" t="s">
        <v>646</v>
      </c>
      <c r="B17" s="7" t="s">
        <v>40</v>
      </c>
      <c r="C17" s="6" t="s">
        <v>647</v>
      </c>
      <c r="D17" s="7" t="s">
        <v>648</v>
      </c>
      <c r="E17" s="7" t="s">
        <v>649</v>
      </c>
      <c r="F17" s="7" t="s">
        <v>650</v>
      </c>
      <c r="G17" s="16" t="s">
        <v>34</v>
      </c>
      <c r="H17" s="7" t="s">
        <v>651</v>
      </c>
      <c r="I17" s="7" t="s">
        <v>652</v>
      </c>
      <c r="J17" s="7" t="s">
        <v>653</v>
      </c>
      <c r="K17" s="18" t="s">
        <v>566</v>
      </c>
    </row>
    <row r="18" customFormat="false" ht="79.5" hidden="false" customHeight="true" outlineLevel="0" collapsed="false">
      <c r="A18" s="16" t="s">
        <v>654</v>
      </c>
      <c r="B18" s="7" t="s">
        <v>40</v>
      </c>
      <c r="C18" s="6" t="s">
        <v>655</v>
      </c>
      <c r="D18" s="7" t="s">
        <v>656</v>
      </c>
      <c r="E18" s="7" t="s">
        <v>657</v>
      </c>
      <c r="F18" s="7" t="s">
        <v>658</v>
      </c>
      <c r="G18" s="16" t="s">
        <v>33</v>
      </c>
      <c r="H18" s="7" t="s">
        <v>659</v>
      </c>
      <c r="I18" s="7" t="s">
        <v>660</v>
      </c>
      <c r="J18" s="7" t="s">
        <v>661</v>
      </c>
      <c r="K18" s="18" t="s">
        <v>566</v>
      </c>
    </row>
    <row r="19" customFormat="false" ht="54" hidden="false" customHeight="true" outlineLevel="0" collapsed="false">
      <c r="A19" s="16" t="s">
        <v>662</v>
      </c>
      <c r="B19" s="7" t="s">
        <v>40</v>
      </c>
      <c r="C19" s="6" t="s">
        <v>663</v>
      </c>
      <c r="D19" s="7" t="s">
        <v>664</v>
      </c>
      <c r="E19" s="7" t="s">
        <v>665</v>
      </c>
      <c r="F19" s="7" t="s">
        <v>658</v>
      </c>
      <c r="G19" s="16" t="s">
        <v>33</v>
      </c>
      <c r="H19" s="7" t="s">
        <v>666</v>
      </c>
      <c r="I19" s="7" t="s">
        <v>667</v>
      </c>
      <c r="J19" s="7" t="s">
        <v>668</v>
      </c>
      <c r="K19" s="18" t="s">
        <v>566</v>
      </c>
    </row>
    <row r="20" customFormat="false" ht="54" hidden="false" customHeight="true" outlineLevel="0" collapsed="false">
      <c r="A20" s="16" t="s">
        <v>669</v>
      </c>
      <c r="B20" s="7" t="s">
        <v>40</v>
      </c>
      <c r="C20" s="6" t="s">
        <v>670</v>
      </c>
      <c r="D20" s="7" t="s">
        <v>671</v>
      </c>
      <c r="E20" s="7" t="s">
        <v>672</v>
      </c>
      <c r="F20" s="7" t="s">
        <v>658</v>
      </c>
      <c r="G20" s="16" t="s">
        <v>34</v>
      </c>
      <c r="H20" s="7" t="s">
        <v>673</v>
      </c>
      <c r="I20" s="7" t="s">
        <v>674</v>
      </c>
      <c r="J20" s="7" t="s">
        <v>675</v>
      </c>
      <c r="K20" s="18" t="s">
        <v>566</v>
      </c>
    </row>
    <row r="21" customFormat="false" ht="92.25" hidden="false" customHeight="true" outlineLevel="0" collapsed="false">
      <c r="A21" s="16" t="s">
        <v>676</v>
      </c>
      <c r="B21" s="7" t="s">
        <v>40</v>
      </c>
      <c r="C21" s="6" t="s">
        <v>677</v>
      </c>
      <c r="D21" s="7" t="s">
        <v>678</v>
      </c>
      <c r="E21" s="7" t="s">
        <v>679</v>
      </c>
      <c r="F21" s="7" t="s">
        <v>658</v>
      </c>
      <c r="G21" s="16" t="s">
        <v>33</v>
      </c>
      <c r="H21" s="7" t="s">
        <v>680</v>
      </c>
      <c r="I21" s="7" t="s">
        <v>681</v>
      </c>
      <c r="J21" s="7" t="s">
        <v>682</v>
      </c>
      <c r="K21" s="18" t="s">
        <v>566</v>
      </c>
    </row>
    <row r="22" customFormat="false" ht="117.75" hidden="false" customHeight="true" outlineLevel="0" collapsed="false">
      <c r="A22" s="16" t="s">
        <v>683</v>
      </c>
      <c r="B22" s="7" t="s">
        <v>40</v>
      </c>
      <c r="C22" s="6" t="s">
        <v>684</v>
      </c>
      <c r="D22" s="7" t="s">
        <v>685</v>
      </c>
      <c r="E22" s="7" t="s">
        <v>686</v>
      </c>
      <c r="F22" s="7" t="s">
        <v>593</v>
      </c>
      <c r="G22" s="16" t="s">
        <v>34</v>
      </c>
      <c r="H22" s="7" t="s">
        <v>687</v>
      </c>
      <c r="I22" s="7" t="s">
        <v>688</v>
      </c>
      <c r="J22" s="7" t="s">
        <v>689</v>
      </c>
      <c r="K22" s="18" t="s">
        <v>566</v>
      </c>
    </row>
    <row r="23" customFormat="false" ht="92.25" hidden="false" customHeight="true" outlineLevel="0" collapsed="false">
      <c r="A23" s="16" t="s">
        <v>690</v>
      </c>
      <c r="B23" s="7" t="s">
        <v>40</v>
      </c>
      <c r="C23" s="6" t="s">
        <v>691</v>
      </c>
      <c r="D23" s="7" t="s">
        <v>692</v>
      </c>
      <c r="E23" s="7" t="s">
        <v>693</v>
      </c>
      <c r="F23" s="7" t="s">
        <v>694</v>
      </c>
      <c r="G23" s="16" t="s">
        <v>34</v>
      </c>
      <c r="H23" s="7" t="s">
        <v>695</v>
      </c>
      <c r="I23" s="7" t="s">
        <v>696</v>
      </c>
      <c r="J23" s="7" t="s">
        <v>697</v>
      </c>
      <c r="K23" s="18" t="s">
        <v>566</v>
      </c>
    </row>
    <row r="24" customFormat="false" ht="66.75" hidden="false" customHeight="true" outlineLevel="0" collapsed="false">
      <c r="A24" s="16" t="s">
        <v>698</v>
      </c>
      <c r="B24" s="7" t="s">
        <v>40</v>
      </c>
      <c r="C24" s="6" t="s">
        <v>699</v>
      </c>
      <c r="D24" s="7" t="s">
        <v>700</v>
      </c>
      <c r="E24" s="7" t="s">
        <v>701</v>
      </c>
      <c r="F24" s="7" t="s">
        <v>702</v>
      </c>
      <c r="G24" s="16" t="s">
        <v>34</v>
      </c>
      <c r="H24" s="7" t="s">
        <v>703</v>
      </c>
      <c r="I24" s="7" t="s">
        <v>704</v>
      </c>
      <c r="J24" s="7" t="s">
        <v>705</v>
      </c>
      <c r="K24" s="18" t="s">
        <v>566</v>
      </c>
    </row>
    <row r="25" customFormat="false" ht="66.75" hidden="false" customHeight="true" outlineLevel="0" collapsed="false">
      <c r="A25" s="16" t="s">
        <v>706</v>
      </c>
      <c r="B25" s="7" t="s">
        <v>40</v>
      </c>
      <c r="C25" s="6" t="s">
        <v>707</v>
      </c>
      <c r="D25" s="7" t="s">
        <v>708</v>
      </c>
      <c r="E25" s="7" t="s">
        <v>709</v>
      </c>
      <c r="F25" s="7" t="s">
        <v>702</v>
      </c>
      <c r="G25" s="16" t="s">
        <v>35</v>
      </c>
      <c r="H25" s="7" t="s">
        <v>710</v>
      </c>
      <c r="I25" s="7" t="s">
        <v>711</v>
      </c>
      <c r="J25" s="7" t="s">
        <v>712</v>
      </c>
      <c r="K25" s="18" t="s">
        <v>566</v>
      </c>
    </row>
    <row r="26" customFormat="false" ht="66.75" hidden="false" customHeight="true" outlineLevel="0" collapsed="false">
      <c r="A26" s="16" t="s">
        <v>713</v>
      </c>
      <c r="B26" s="7" t="s">
        <v>40</v>
      </c>
      <c r="C26" s="6" t="s">
        <v>714</v>
      </c>
      <c r="D26" s="7" t="s">
        <v>715</v>
      </c>
      <c r="E26" s="7" t="s">
        <v>716</v>
      </c>
      <c r="F26" s="7" t="s">
        <v>717</v>
      </c>
      <c r="G26" s="16" t="s">
        <v>34</v>
      </c>
      <c r="H26" s="7" t="s">
        <v>718</v>
      </c>
      <c r="I26" s="7" t="s">
        <v>719</v>
      </c>
      <c r="J26" s="7" t="s">
        <v>720</v>
      </c>
      <c r="K26" s="18" t="s">
        <v>566</v>
      </c>
    </row>
    <row r="27" customFormat="false" ht="66.75" hidden="false" customHeight="true" outlineLevel="0" collapsed="false">
      <c r="A27" s="16" t="s">
        <v>721</v>
      </c>
      <c r="B27" s="7" t="s">
        <v>40</v>
      </c>
      <c r="C27" s="6" t="s">
        <v>722</v>
      </c>
      <c r="D27" s="7" t="s">
        <v>723</v>
      </c>
      <c r="E27" s="7" t="s">
        <v>724</v>
      </c>
      <c r="F27" s="7" t="s">
        <v>694</v>
      </c>
      <c r="G27" s="16" t="s">
        <v>35</v>
      </c>
      <c r="H27" s="7" t="s">
        <v>725</v>
      </c>
      <c r="I27" s="7" t="s">
        <v>726</v>
      </c>
      <c r="J27" s="7" t="s">
        <v>727</v>
      </c>
      <c r="K27" s="18" t="s">
        <v>566</v>
      </c>
    </row>
    <row r="28" customFormat="false" ht="41.25" hidden="false" customHeight="true" outlineLevel="0" collapsed="false">
      <c r="A28" s="16" t="s">
        <v>728</v>
      </c>
      <c r="B28" s="7" t="s">
        <v>40</v>
      </c>
      <c r="C28" s="6" t="s">
        <v>729</v>
      </c>
      <c r="D28" s="7" t="s">
        <v>730</v>
      </c>
      <c r="E28" s="7" t="s">
        <v>731</v>
      </c>
      <c r="F28" s="7" t="s">
        <v>658</v>
      </c>
      <c r="G28" s="16" t="s">
        <v>33</v>
      </c>
      <c r="H28" s="7" t="s">
        <v>732</v>
      </c>
      <c r="I28" s="7" t="s">
        <v>733</v>
      </c>
      <c r="J28" s="7" t="s">
        <v>734</v>
      </c>
      <c r="K28" s="18" t="s">
        <v>566</v>
      </c>
    </row>
    <row r="29" customFormat="false" ht="79.5" hidden="false" customHeight="true" outlineLevel="0" collapsed="false">
      <c r="A29" s="16" t="s">
        <v>735</v>
      </c>
      <c r="B29" s="7" t="s">
        <v>40</v>
      </c>
      <c r="C29" s="6" t="s">
        <v>736</v>
      </c>
      <c r="D29" s="7" t="s">
        <v>737</v>
      </c>
      <c r="E29" s="7" t="s">
        <v>738</v>
      </c>
      <c r="F29" s="7" t="s">
        <v>658</v>
      </c>
      <c r="G29" s="16" t="s">
        <v>35</v>
      </c>
      <c r="H29" s="7" t="s">
        <v>739</v>
      </c>
      <c r="I29" s="7" t="s">
        <v>740</v>
      </c>
      <c r="J29" s="7" t="s">
        <v>741</v>
      </c>
      <c r="K29" s="18" t="s">
        <v>566</v>
      </c>
    </row>
  </sheetData>
  <autoFilter ref="A4:K29"/>
  <mergeCells count="1">
    <mergeCell ref="A2:K2"/>
  </mergeCells>
  <conditionalFormatting sqref="K5:K29">
    <cfRule type="cellIs" priority="2" operator="equal" aboveAverage="0" equalAverage="0" bottom="0" percent="0" rank="0" text="" dxfId="0">
      <formula>"Confirmed"</formula>
    </cfRule>
    <cfRule type="cellIs" priority="3" operator="equal" aboveAverage="0" equalAverage="0" bottom="0" percent="0" rank="0" text="" dxfId="1">
      <formula>"In flight"</formula>
    </cfRule>
    <cfRule type="cellIs" priority="4" operator="equal" aboveAverage="0" equalAverage="0" bottom="0" percent="0" rank="0" text="" dxfId="2">
      <formula>"Dropped"</formula>
    </cfRule>
  </conditionalFormatting>
  <conditionalFormatting sqref="B5:B29">
    <cfRule type="cellIs" priority="5" operator="equal" aboveAverage="0" equalAverage="0" bottom="0" percent="0" rank="0" text="" dxfId="22">
      <formula>"Stability"</formula>
    </cfRule>
  </conditionalFormatting>
  <dataValidations count="1">
    <dataValidation allowBlank="false" errorStyle="stop" operator="between" showDropDown="false" showErrorMessage="false" showInputMessage="false" sqref="K5:K29" type="list">
      <formula1>"Hypothesis,Confirmed,In flight,Dropped"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2026-10-08T21:43:12Z</dcterms:created>
  <dc:creator>Arpit Shah</dc:creator>
  <dc:description/>
  <dc:language>en-US</dc:language>
  <cp:lastModifiedBy/>
  <dcterms:modified xsi:type="dcterms:W3CDTF">2026-10-08T21:43:13Z</dcterms:modified>
  <cp:revision>0</cp:revision>
  <dc:subject/>
  <dc:title>Financing capability map</dc:title>
</cp:coreProperties>
</file>

<file path=docProps/custom.xml><?xml version="1.0" encoding="utf-8"?>
<Properties xmlns="http://schemas.openxmlformats.org/officeDocument/2006/custom-properties" xmlns:vt="http://schemas.openxmlformats.org/officeDocument/2006/docPropsVTypes"/>
</file>