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trategy on a Page" sheetId="2" state="visible" r:id="rId4"/>
    <sheet name="Industry &amp; Clients" sheetId="3" state="visible" r:id="rId5"/>
    <sheet name="Ontology" sheetId="4" state="visible" r:id="rId6"/>
    <sheet name="Maturity Model" sheetId="5" state="visible" r:id="rId7"/>
    <sheet name="Use-Case Portfolio" sheetId="6" state="visible" r:id="rId8"/>
    <sheet name="Portfolio Summary" sheetId="7" state="visible" r:id="rId9"/>
    <sheet name="Systems View" sheetId="8" state="visible" r:id="rId10"/>
    <sheet name="Operating Model &amp; Governance" sheetId="9" state="visible" r:id="rId11"/>
    <sheet name="Pricing &amp; Commercial" sheetId="10" state="visible" r:id="rId12"/>
    <sheet name="Business Case" sheetId="11" state="visible" r:id="rId13"/>
    <sheet name="Roadmap" sheetId="12" state="visible" r:id="rId14"/>
    <sheet name="Benchmarks &amp; Peers" sheetId="13" state="visible" r:id="rId15"/>
    <sheet name="Panel Review" sheetId="14" state="visible" r:id="rId16"/>
    <sheet name="Next Moves (AS)" sheetId="15" state="visible" r:id="rId17"/>
    <sheet name="Sources" sheetId="16" state="visible" r:id="rId18"/>
  </sheets>
  <definedNames>
    <definedName function="false" hidden="true" localSheetId="5" name="_xlnm._FilterDatabase" vbProcedure="false">'Use-Case Portfolio'!$A$5:$V$45</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L3" authorId="0">
      <text>
        <r>
          <rPr>
            <sz val="10"/>
            <rFont val="Arial"/>
            <family val="2"/>
          </rPr>
          <t xml:space="preserve">Sum of weights (should be 1.00). Score normalizes by this sum, so any positive weights work.</t>
        </r>
      </text>
    </comment>
  </commentList>
</comments>
</file>

<file path=xl/sharedStrings.xml><?xml version="1.0" encoding="utf-8"?>
<sst xmlns="http://schemas.openxmlformats.org/spreadsheetml/2006/main" count="2350" uniqueCount="2071">
  <si>
    <t xml:space="preserve">Citi Services — AI Product Strategy Playbook</t>
  </si>
  <si>
    <t xml:space="preserve">Working recommendation for the hiring-manager conversation on AI usage and strategy. Built for the AI Product Strategy, Global Services (Director) mandate. Illustrative figures are labeled; verify anything marked [verify] before sending.</t>
  </si>
  <si>
    <t xml:space="preserve">What this workbook is</t>
  </si>
  <si>
    <t xml:space="preserve">Item</t>
  </si>
  <si>
    <t xml:space="preserve">Content</t>
  </si>
  <si>
    <t xml:space="preserve">Notes</t>
  </si>
  <si>
    <t xml:space="preserve">Purpose</t>
  </si>
  <si>
    <t xml:space="preserve">One place that shows how AI strategy is actually done at a top-tier transaction bank that is mid-pack in enterprise AI adoption — and what Services should do across five mandates: Internal, Client, Pricing, Product, Efficiency.</t>
  </si>
  <si>
    <t xml:space="preserve">Diagnosis (one line)</t>
  </si>
  <si>
    <t xml:space="preserve">Services is #1 in its markets but Citi is #12 in AI (Evident, Oct 2025, down from #8). The binding constraint is not model capability or spend — it is a governed, repeatable path from pilot to P&amp;L, built on shared data/ontology and pulled by client co-creation.</t>
  </si>
  <si>
    <t xml:space="preserve">Guiding policy</t>
  </si>
  <si>
    <t xml:space="preserve">Ontology before models · one governed pipeline · reuse over rebuild · co-create with 10 clients before scaling to 10,000 · measure P&amp;L, not pilots.</t>
  </si>
  <si>
    <t xml:space="preserve">Coherent actions</t>
  </si>
  <si>
    <t xml:space="preserve">8–10 named bets across the five mandates (see Use-Case Portfolio + Roadmap), a delivery pipeline with tiered controls (Operating Model), and a commercial model that monetizes mostly through balances and share of wallet, not feature fees (Pricing &amp; Commercial).</t>
  </si>
  <si>
    <t xml:space="preserve">How to read the tabs</t>
  </si>
  <si>
    <t xml:space="preserve">Tab</t>
  </si>
  <si>
    <t xml:space="preserve">What it covers</t>
  </si>
  <si>
    <t xml:space="preserve">Note</t>
  </si>
  <si>
    <t xml:space="preserve">1. Strategy on a Page</t>
  </si>
  <si>
    <t xml:space="preserve">The overarching view: diagnosis, five mandates, top bets, horizons, principles.</t>
  </si>
  <si>
    <t xml:space="preserve">Start here</t>
  </si>
  <si>
    <t xml:space="preserve">2. Industry &amp; Clients</t>
  </si>
  <si>
    <t xml:space="preserve">Deconstruction of the five Services business lines, client segments, and the value chain — with AI opportunity heat.</t>
  </si>
  <si>
    <t xml:space="preserve">The territory</t>
  </si>
  <si>
    <t xml:space="preserve">3. Ontology</t>
  </si>
  <si>
    <t xml:space="preserve">The entity model (Client → Account → Instruction → Case…), the AI capability taxonomy, and the alignment rule every use case must pass.</t>
  </si>
  <si>
    <t xml:space="preserve">Your ontology-aligned view</t>
  </si>
  <si>
    <t xml:space="preserve">4. Maturity Model</t>
  </si>
  <si>
    <t xml:space="preserve">8 dimensions × 5 levels; where Services sits today (assessed), 12/24-month targets, what moves each dimension.</t>
  </si>
  <si>
    <t xml:space="preserve">Middle-of-the-pack baseline</t>
  </si>
  <si>
    <t xml:space="preserve">5. Use-Case Portfolio</t>
  </si>
  <si>
    <t xml:space="preserve">40 use cases across the five mandates, scored with editable weights; score and horizon are live formulas.</t>
  </si>
  <si>
    <t xml:space="preserve">Edit blue cells</t>
  </si>
  <si>
    <t xml:space="preserve">6. Portfolio Summary</t>
  </si>
  <si>
    <t xml:space="preserve">Roll-up: counts and average scores by mandate and horizon; ranked top 12.</t>
  </si>
  <si>
    <t xml:space="preserve">Formulas only</t>
  </si>
  <si>
    <t xml:space="preserve">7. Systems View</t>
  </si>
  <si>
    <t xml:space="preserve">Stocks &amp; flows, reinforcing/balancing loops, leverage points, binding constraint, archetypes to avoid, delays.</t>
  </si>
  <si>
    <t xml:space="preserve">Your systems-oriented view</t>
  </si>
  <si>
    <t xml:space="preserve">8. Operating Model &amp; Governance</t>
  </si>
  <si>
    <t xml:space="preserve">How it is done at a global bank: pipeline stages, hub-and-spoke, control tiers, RACI, regulatory map for 30+ markets, model/vendor strategy.</t>
  </si>
  <si>
    <t xml:space="preserve">Domain confirmation</t>
  </si>
  <si>
    <t xml:space="preserve">9. Pricing &amp; Commercial</t>
  </si>
  <si>
    <t xml:space="preserve">AI for pricing (leakage, relationship pricing, deposit pricing) and pricing of AI (bundled / tiered / usage / value-share / balance-linked).</t>
  </si>
  <si>
    <t xml:space="preserve">10. Business Case</t>
  </si>
  <si>
    <t xml:space="preserve">Illustrative value model with editable inputs and low/base/high sensitivities. Replace assumptions with internal baselines.</t>
  </si>
  <si>
    <t xml:space="preserve">11. Roadmap</t>
  </si>
  <si>
    <t xml:space="preserve">Nine workstreams × five periods (0–90 days to 36 months) with exit criteria.</t>
  </si>
  <si>
    <t xml:space="preserve">12. Benchmarks &amp; Peers</t>
  </si>
  <si>
    <t xml:space="preserve">What JPM, BNY, GS, BofA, HSBC, Wells, StanChart, DBS, DB, fintechs and networks have done; adoption benchmarks; copy/adapt/avoid.</t>
  </si>
  <si>
    <t xml:space="preserve">Dated, sourced</t>
  </si>
  <si>
    <t xml:space="preserve">13. Panel Review</t>
  </si>
  <si>
    <t xml:space="preserve">Product leaders, strategists/business engineers, and systems thinkers: lens, endorsement, push-back, change requested.</t>
  </si>
  <si>
    <t xml:space="preserve">Frameworks applied, not quotes</t>
  </si>
  <si>
    <t xml:space="preserve">14. Next Moves (AS)</t>
  </si>
  <si>
    <t xml:space="preserve">How to package this for the hiring manager, questions to ask, objections, extensions, verify-before-use list.</t>
  </si>
  <si>
    <t xml:space="preserve">For you, not for him</t>
  </si>
  <si>
    <t xml:space="preserve">15. Sources</t>
  </si>
  <si>
    <t xml:space="preserve">Source list used across the workbook.</t>
  </si>
  <si>
    <t xml:space="preserve">Conventions</t>
  </si>
  <si>
    <t xml:space="preserve">Convention</t>
  </si>
  <si>
    <t xml:space="preserve">Meaning</t>
  </si>
  <si>
    <t xml:space="preserve">Blue text on yellow</t>
  </si>
  <si>
    <t xml:space="preserve">Editable input / assumption. Change these; everything downstream recalculates.</t>
  </si>
  <si>
    <t xml:space="preserve">Black text</t>
  </si>
  <si>
    <t xml:space="preserve">Formula or fixed content.</t>
  </si>
  <si>
    <t xml:space="preserve">[verify]</t>
  </si>
  <si>
    <t xml:space="preserve">A fact that could not be confirmed from a primary source, or that conflicts across sources. Check before sending.</t>
  </si>
  <si>
    <t xml:space="preserve">Scores</t>
  </si>
  <si>
    <t xml:space="preserve">1 (low) to 5 (high). Control burden is inverted in the score (heavier controls lower the score).</t>
  </si>
  <si>
    <t xml:space="preserve">Attribution</t>
  </si>
  <si>
    <t xml:space="preserve">Strategy frameworks applied include the Business Engineering methodology (Analysis by The Business Engineer, Gennaro Cuofano, businessengineer.ai) alongside Rumelt, Helmer, Meadows, Goldratt, Beer, Cagan, Torres and others named on the Panel Review tab.</t>
  </si>
  <si>
    <t xml:space="preserve">Date</t>
  </si>
  <si>
    <t xml:space="preserve">Facts current to 22 Sep 2026. Citi financials per Q2 2026 earnings and FY2025 results.</t>
  </si>
  <si>
    <t xml:space="preserve">Strategy on a Page — AI for Citi Services</t>
  </si>
  <si>
    <t xml:space="preserve">The whole argument on one tab. Everything else in the workbook is evidence for, or execution of, this page.</t>
  </si>
  <si>
    <t xml:space="preserve">Diagnosis → Guiding policy → Coherent action (Rumelt kernel)</t>
  </si>
  <si>
    <t xml:space="preserve">Element</t>
  </si>
  <si>
    <t xml:space="preserve">Diagnosis</t>
  </si>
  <si>
    <t xml:space="preserve">Services is the franchise leader (#1 TTS share 11.5%, FY25 revenue $21.3B, RoTCE 28.6%, &gt;$1T deposits) inside a bank that is mid-pack in AI (Evident #12, down from #8; Leadership pillar 26th, Transparency 30th). Enterprise tooling is broadly deployed (180k+ employees, 40k developers with agents) but Services' value capture is activity-measured (prompts, users, hours), not P&amp;L-measured, and client-facing AI is still in pilot (CitiDirect assistant). The constraint is the governed path from pilot to production — data lineage (consent-order remediation still open), tiered model-risk review for GenAI/agentic (now the bank's own responsibility under SR 26-2), and reusable components — not model capability or budget.</t>
  </si>
  <si>
    <t xml:space="preserve">Treat AI as a product line with a P&amp;L, not a tool rollout. Build one industrialized pipeline (ontology → pattern → controls → production → measurement) and run all five mandates through it. Let client co-creation set demand; let balances and share of wallet — not feature fees — set the commercial model.</t>
  </si>
  <si>
    <t xml:space="preserve">(1) Stand up the Services AI product office with decision rights and a value ledger. (2) Ship the Now-wave bets in the Portfolio (E-01, E-10, I-01, I-03, C-05, P-01, E-03, C-01). (3) Fund the ontology/data foundation as a product with its own roadmap. (4) Convert MRM/controls into a tiered, pre-approved pattern library. (5) Launch a 10-client co-creation cohort per business line. (6) Publish quarterly value realized, internally and (selectively) externally.</t>
  </si>
  <si>
    <t xml:space="preserve">Five mandates — what good looks like</t>
  </si>
  <si>
    <t xml:space="preserve">Mandate</t>
  </si>
  <si>
    <t xml:space="preserve">Objective</t>
  </si>
  <si>
    <t xml:space="preserve">North-star metrics</t>
  </si>
  <si>
    <t xml:space="preserve">Top bets (IDs → Use-Case Portfolio)</t>
  </si>
  <si>
    <t xml:space="preserve">12-month target</t>
  </si>
  <si>
    <t xml:space="preserve">Guardrail</t>
  </si>
  <si>
    <t xml:space="preserve">Internal (workforce)</t>
  </si>
  <si>
    <t xml:space="preserve">Every Services role has an AI-native workflow; the five Assist pillars run at scale across markets, not in pilots.</t>
  </si>
  <si>
    <t xml:space="preserve">Hours redeployed; % roles with AI workflow; adoption ≥ 85%</t>
  </si>
  <si>
    <t xml:space="preserve">I-01 Sales Assist/RFP · I-03 Ops Assist investigations · I-02 coverage briefing · I-06 Tech Assist</t>
  </si>
  <si>
    <t xml:space="preserve">3 of 5 Assist pillars at scale in ≥ 20 markets; ≥ 100k hours/yr redeployed in Services (verify vs internal baseline)</t>
  </si>
  <si>
    <t xml:space="preserve">Human accountable for every client-facing output; no autonomous client communication</t>
  </si>
  <si>
    <t xml:space="preserve">Client (products)</t>
  </si>
  <si>
    <t xml:space="preserve">AI features clients stay for and pay for, co-created with named design partners, launched across 30+ markets on one global design.</t>
  </si>
  <si>
    <t xml:space="preserve">Client adoption; NPS on AI features; share of wallet; operating deposits</t>
  </si>
  <si>
    <t xml:space="preserve">C-05 CitiDirect AI assistant · C-01 cash-flow forecasting · C-04 predictive receivables · C-03 intelligent payment orchestration · C-02 liquidity optimization</t>
  </si>
  <si>
    <t xml:space="preserve">2 client-facing AI products GA in ≥ 10 markets with ≥ 500 active clients; 10-client cohort per business line</t>
  </si>
  <si>
    <t xml:space="preserve">Explainability for any recommendation; no client decisioning without validated model + fairness review</t>
  </si>
  <si>
    <t xml:space="preserve">Pricing (commercial)</t>
  </si>
  <si>
    <t xml:space="preserve">Price to value and stop leakage; deal desk and coverage use one pricing intelligence layer.</t>
  </si>
  <si>
    <t xml:space="preserve">Fee realization %; price yield; win rate at target price; deposit beta accuracy</t>
  </si>
  <si>
    <t xml:space="preserve">P-01 fee leakage engine · P-02 relationship pricing · P-03 deposit pricing intelligence · P-06 attrition early warning</t>
  </si>
  <si>
    <t xml:space="preserve">Leakage recovery live for top-500 relationships; pricing recommendations in ≥ 50% of deal-desk decisions</t>
  </si>
  <si>
    <t xml:space="preserve">Conduct and antitrust review of pricing models; documented human override</t>
  </si>
  <si>
    <t xml:space="preserve">Product (how we build)</t>
  </si>
  <si>
    <t xml:space="preserve">Concept-to-commercialization cycle time halves; localization to 30+ markets is rules-driven from the ontology, not re-coded per market.</t>
  </si>
  <si>
    <t xml:space="preserve">Concept→GA cycle time; % specs AI-assisted; markets launched per release</t>
  </si>
  <si>
    <t xml:space="preserve">D-03 market localization agent · D-01 discovery synthesis · D-02 AI-assisted specs · D-05 client insight data product</t>
  </si>
  <si>
    <t xml:space="preserve">Cycle time −30%; localization backlog for one product cleared via ontology rules</t>
  </si>
  <si>
    <t xml:space="preserve">Product decisions remain with accountable PMs; AI drafts, humans decide</t>
  </si>
  <si>
    <t xml:space="preserve">Efficiency (ops &amp; risk)</t>
  </si>
  <si>
    <t xml:space="preserve">Straight-through processing rises and exceptions fall; document-heavy and alert-heavy work is AI-first with human review by tier.</t>
  </si>
  <si>
    <t xml:space="preserve">Cost per transaction; STP rate; exceptions per million; alert dispositions per FTE</t>
  </si>
  <si>
    <t xml:space="preserve">E-01 IDP onboarding/KYC · E-10 Agent Assist at scale · E-03 payment repair · E-07 trade doc checking · E-02 screening triage</t>
  </si>
  <si>
    <t xml:space="preserve">Servicing effort −20% on 3M+ inquiries; onboarding doc review −80% in all markets; STP +3–5 pts on target flows</t>
  </si>
  <si>
    <t xml:space="preserve">Sanctions/AML models stay Tier-4 controlled; no auto-clearing of alerts without validated model</t>
  </si>
  <si>
    <t xml:space="preserve">Three horizons</t>
  </si>
  <si>
    <t xml:space="preserve">Horizon</t>
  </si>
  <si>
    <t xml:space="preserve">Focus</t>
  </si>
  <si>
    <t xml:space="preserve">Exit criteria</t>
  </si>
  <si>
    <t xml:space="preserve">Now (0–12 months)</t>
  </si>
  <si>
    <t xml:space="preserve">Industrialize what already works: IDP, Agent Assist, Ops Assist, Sales Assist, CitiDirect assistant, fee leakage, payment repair. Stand up the pipeline, ontology v1, value ledger, co-creation cohort.</t>
  </si>
  <si>
    <t xml:space="preserve">Prove P&amp;L attribution on ≥ 5 use cases; publish first value report</t>
  </si>
  <si>
    <t xml:space="preserve">Next (12–24 months)</t>
  </si>
  <si>
    <t xml:space="preserve">Client products at scale: forecasting, receivables, orchestration, liquidity optimization advisor; pricing intelligence in deal desk; localization agent; screening triage under Tier-4 controls.</t>
  </si>
  <si>
    <t xml:space="preserve">≥ 2 client products GA in 10+ markets; pricing recs in deal desk; cycle time −30%</t>
  </si>
  <si>
    <t xml:space="preserve">Later (24–36 months)</t>
  </si>
  <si>
    <t xml:space="preserve">Agentic treasury and agentic payments (Know-Your-Agent rails, Agent Pay for Machines / AP2-class protocols), client insight data products, regulatory reporting and regulatory-change automation, Issuer Services document intelligence.</t>
  </si>
  <si>
    <t xml:space="preserve">Services recognized as AI leader in transaction banking (Evident top-5 contribution); AI-attributed revenue disclosed</t>
  </si>
  <si>
    <t xml:space="preserve">Operating principles (the rules that resolve trade-offs)</t>
  </si>
  <si>
    <t xml:space="preserve">Principle</t>
  </si>
  <si>
    <t xml:space="preserve">What it means in practice</t>
  </si>
  <si>
    <t xml:space="preserve">1. Ontology before models</t>
  </si>
  <si>
    <t xml:space="preserve">A use case that cannot name its golden-source entities and owners is not ready. Data readiness is scored, not assumed.</t>
  </si>
  <si>
    <t xml:space="preserve">2. One governed pipeline</t>
  </si>
  <si>
    <t xml:space="preserve">Every use case — internal or client — flows through the same intake → tiering → validation → controls → monitoring path. Pre-approved patterns make the fast lane fast.</t>
  </si>
  <si>
    <t xml:space="preserve">3. Reuse over rebuild</t>
  </si>
  <si>
    <t xml:space="preserve">Components (IDP, retrieval, evals, guardrails, agent runtime) are products with owners; use cases compose them.</t>
  </si>
  <si>
    <t xml:space="preserve">4. Co-create with 10 before scaling to 10,000</t>
  </si>
  <si>
    <t xml:space="preserve">Every client product has named design partners across segments and regions before GA.</t>
  </si>
  <si>
    <t xml:space="preserve">5. Measure P&amp;L, not pilots</t>
  </si>
  <si>
    <t xml:space="preserve">Value ledger with Finance sign-off; revenue, cost, risk, client metrics. Prompts and user counts are leading indicators only.</t>
  </si>
  <si>
    <t xml:space="preserve">6. Global design, local controls</t>
  </si>
  <si>
    <t xml:space="preserve">Jurisdiction is a first-class entity; rules live in the ontology so 30+ markets are configuration, not code.</t>
  </si>
  <si>
    <t xml:space="preserve">Industry &amp; Client Deconstruction — Citi Services</t>
  </si>
  <si>
    <t xml:space="preserve">Services = Treasury &amp; Trade Solutions (Payments, Liquidity Management Services, Trade &amp; Working Capital Solutions) + Securities Services (Investor Services, Issuer Services). Facts from Citi Investor Day (May 2026), Q2 2026 earnings, FY2025 results.</t>
  </si>
  <si>
    <t xml:space="preserve">A. Business lines — what they do, where the money is, where AI bites</t>
  </si>
  <si>
    <t xml:space="preserve">Business line</t>
  </si>
  <si>
    <t xml:space="preserve">What it does (platforms)</t>
  </si>
  <si>
    <t xml:space="preserve">Scale &amp; position</t>
  </si>
  <si>
    <t xml:space="preserve">Economics</t>
  </si>
  <si>
    <t xml:space="preserve">Pain points (client / internal)</t>
  </si>
  <si>
    <t xml:space="preserve">AI heat (1–5)</t>
  </si>
  <si>
    <t xml:space="preserve">Why</t>
  </si>
  <si>
    <t xml:space="preserve">Payments</t>
  </si>
  <si>
    <t xml:space="preserve">Cross-border and domestic payments, USD clearing for ~300 bank clients in ~40 countries, commercial cards, Payments Express (live in 22 markets, up to 10M payments/day, ~40% of volume), Citi Token Services (5 locations, USD+EUR, ~$1B/day), WorldLink.</t>
  </si>
  <si>
    <t xml:space="preserve">#1 globally. FY25 cross-border value $416B (target $482B by 2028); Q2'26 $115B (+13%); USD clearing 177M instructions FY25; card spend $71B FY25; ~$6T processed daily across 180+ countries.</t>
  </si>
  <si>
    <t xml:space="preserve">Fees, FX margin, float/NII on transactional balances. Volume-led; unit cost falls with STP.</t>
  </si>
  <si>
    <t xml:space="preserve">Client: 'where is my payment', fraud (APP/beneficiary), rail choice (instant vs wire vs tokenized), ISO 20022 data underused. Internal: repairs/returns, sanctions false positives, investigations, 24/7 servicing across time zones. Emerging: agentic commerce (Mastercard Agent Pay, Visa Intelligent Commerce, Google AP2) needs 'Know Your Agent' rails.</t>
  </si>
  <si>
    <t xml:space="preserve">Highest volume, richest structured data (ISO 20022), most exception-driven cost; agentic payments is the next platform shift.</t>
  </si>
  <si>
    <t xml:space="preserve">Liquidity Management Services (LMS)</t>
  </si>
  <si>
    <t xml:space="preserve">Account structures, pooling and sweeps (2,700+ clients, 80+ countries, ~$24T/yr swept), Real-Time Funding (2024), intercompany and multi-currency liquidity, interest optimization.</t>
  </si>
  <si>
    <t xml:space="preserve">#1. Average deposits &gt;$1T (Q2'26 $1.017T, +19%). Target deposit CAGR ~3%.</t>
  </si>
  <si>
    <t xml:space="preserve">NII on operating balances dominates Services (FY25 NII $12.2B vs fees $3.1B). Deposit beta and balance mix are the economic engine.</t>
  </si>
  <si>
    <t xml:space="preserve">Client: forecasting accuracy, entity/currency structure optimization under local rules, intraday visibility. Internal: deposit classification (operating vs non-operating), pricing sensitivity, regulatory constraints per market.</t>
  </si>
  <si>
    <t xml:space="preserve">Fewer transactions, but each recommendation moves balances — highest NII leverage per use case.</t>
  </si>
  <si>
    <t xml:space="preserve">Trade &amp; Working Capital Solutions</t>
  </si>
  <si>
    <t xml:space="preserve">Supply-chain finance (~440k buyer–supplier relationships, ~$1T financing throughput in 2025, 'Nirvana' automated supplier onboarding), receivables and payables finance, letters of credit, guarantees, export finance.</t>
  </si>
  <si>
    <t xml:space="preserve">#1 in Trade. Document-intensive and credit-adjacent.</t>
  </si>
  <si>
    <t xml:space="preserve">Fees + financing margin + working-capital balances.</t>
  </si>
  <si>
    <t xml:space="preserve">Client: supplier onboarding speed, document friction (LC, invoices), DSO/DPO optimization. Internal: document checking, sanctions/dual-use screening, supplier risk scoring, compliance review across 160+ countries.</t>
  </si>
  <si>
    <t xml:space="preserve">Unstructured documents everywhere → IDP and agentic checking with human sign-off; HSBC/ANZ/Lloyds/Microsoft PoC shows the pattern.</t>
  </si>
  <si>
    <t xml:space="preserve">Investor Services</t>
  </si>
  <si>
    <t xml:space="preserve">Custody (100+ markets; proprietary infrastructure in 62), fund services, middle office, Custody+ (Aug 2026: real-time settlement, liquidity sweeping, AI, digital assets; crypto custody targeted 2026).</t>
  </si>
  <si>
    <t xml:space="preserve">#4. AUC/AUA $35T (+22%); Securities Services FY25 revenue $5.9B (+15%); settlement volume +37%, cost/txn −25% cited.</t>
  </si>
  <si>
    <t xml:space="preserve">Asset-based and activity fees; scale economics in processing.</t>
  </si>
  <si>
    <t xml:space="preserve">Client: settlement fails, corporate-action timeliness, reporting. Internal: reconciliations, corporate actions (voluntary events already −92% processing time), client reporting narratives, onboarding.</t>
  </si>
  <si>
    <t xml:space="preserve">Process-heavy back office where agents on reconciliations and corporate actions are proven (Goldman + Anthropic, BNY Eliza).</t>
  </si>
  <si>
    <t xml:space="preserve">Issuer Services</t>
  </si>
  <si>
    <t xml:space="preserve">Agency &amp; trust, depositary receipts, escrow, structured-finance administration.</t>
  </si>
  <si>
    <t xml:space="preserve">#3. Smaller, document- and event-driven.</t>
  </si>
  <si>
    <t xml:space="preserve">Fees per deal / per event; long-dated mandates.</t>
  </si>
  <si>
    <t xml:space="preserve">Client: investor inquiries, event processing. Internal: indenture/agreement review, payment waterfalls, notices.</t>
  </si>
  <si>
    <t xml:space="preserve">Document intelligence and Q&amp;A; lower volume, lower priority but cheap to add once IDP exists.</t>
  </si>
  <si>
    <t xml:space="preserve">B. Client segments — jobs to be done and what they will value from AI</t>
  </si>
  <si>
    <t xml:space="preserve">Segment</t>
  </si>
  <si>
    <t xml:space="preserve">Jobs to be done</t>
  </si>
  <si>
    <t xml:space="preserve">What AI should do for them</t>
  </si>
  <si>
    <t xml:space="preserve">Willingness to pay</t>
  </si>
  <si>
    <t xml:space="preserve">Adoption readiness</t>
  </si>
  <si>
    <t xml:space="preserve">Co-creation candidate?</t>
  </si>
  <si>
    <t xml:space="preserve">Large multinational corporates (~80% of Fortune 500)</t>
  </si>
  <si>
    <t xml:space="preserve">Run global treasury across dozens of entities and currencies; optimize liquidity; pay and collect at scale; comply everywhere.</t>
  </si>
  <si>
    <t xml:space="preserve">Cash-flow forecasting, liquidity structure recommendations, intelligent routing, API/agentic treasury, anomaly alerts, faster onboarding of new entities.</t>
  </si>
  <si>
    <t xml:space="preserve">High for optimization that moves working capital; low for 'assistants' (expected free).</t>
  </si>
  <si>
    <t xml:space="preserve">High — sophisticated treasury teams, TMS/ERP integrated (Kyriba, SAP, HighRadius already pushing agents).</t>
  </si>
  <si>
    <t xml:space="preserve">Yes — 3–4 design partners per region; these are the RFP-driving references.</t>
  </si>
  <si>
    <t xml:space="preserve">Financial institutions (~98% of top-100 banks)</t>
  </si>
  <si>
    <t xml:space="preserve">USD clearing, correspondent banking, FX, custody; manage sanctions/fraud exposure on flows they don't originate.</t>
  </si>
  <si>
    <t xml:space="preserve">Screening quality, fraud/anomaly intelligence (federated with Swift), investigations speed, 24/7 clearing insight.</t>
  </si>
  <si>
    <t xml:space="preserve">Medium — pay for risk reduction and speed as part of clearing relationship.</t>
  </si>
  <si>
    <t xml:space="preserve">High operationally; cautious on data sharing.</t>
  </si>
  <si>
    <t xml:space="preserve">Yes — 2–3 clearing clients for fraud/investigations co-design.</t>
  </si>
  <si>
    <t xml:space="preserve">Public sector / sovereigns / IGOs</t>
  </si>
  <si>
    <t xml:space="preserve">Disbursements, collections, reserves; strict procurement and residency rules.</t>
  </si>
  <si>
    <t xml:space="preserve">Payment orchestration, reconciliation, reporting transparency.</t>
  </si>
  <si>
    <t xml:space="preserve">Low–medium; procurement-bound.</t>
  </si>
  <si>
    <t xml:space="preserve">Medium; long cycles.</t>
  </si>
  <si>
    <t xml:space="preserve">Selective.</t>
  </si>
  <si>
    <t xml:space="preserve">Commercial / mid-market (revenue 1.5x since 2022; '$100B addressable')</t>
  </si>
  <si>
    <t xml:space="preserve">Simpler treasury, fewer people; want 'done for me'.</t>
  </si>
  <si>
    <t xml:space="preserve">CitiDirect Commercial with embedded AI assistant, automated cash application, forecasting out-of-the-box, self-service onboarding.</t>
  </si>
  <si>
    <t xml:space="preserve">Medium — bundled tiers work; will pay for outcomes (DSO days).</t>
  </si>
  <si>
    <t xml:space="preserve">Medium; fastest-growing segment and most exposed to fintech alternatives (Stripe, Adyen, Tipalti).</t>
  </si>
  <si>
    <t xml:space="preserve">Yes — this is where a 'productized' AI tier can be tested first.</t>
  </si>
  <si>
    <t xml:space="preserve">Asset managers, asset owners, funds</t>
  </si>
  <si>
    <t xml:space="preserve">Custody, fund administration, data and reporting; settlement certainty.</t>
  </si>
  <si>
    <t xml:space="preserve">Settlement-fail prediction, corporate-action explainers, reporting narratives, data-as-a-product.</t>
  </si>
  <si>
    <t xml:space="preserve">Medium–high for data products.</t>
  </si>
  <si>
    <t xml:space="preserve">High.</t>
  </si>
  <si>
    <t xml:space="preserve">Yes — via Custody+ design partners.</t>
  </si>
  <si>
    <t xml:space="preserve">C. Value chain — where AI applies and how heavy the controls are</t>
  </si>
  <si>
    <t xml:space="preserve">Value-chain stage</t>
  </si>
  <si>
    <t xml:space="preserve">AI application</t>
  </si>
  <si>
    <t xml:space="preserve">Control intensity</t>
  </si>
  <si>
    <t xml:space="preserve">Use-case IDs</t>
  </si>
  <si>
    <t xml:space="preserve">1. Sales, RFP, coverage</t>
  </si>
  <si>
    <t xml:space="preserve">Retrieve + generate (RFP responses, briefings), propensity models</t>
  </si>
  <si>
    <t xml:space="preserve">Low–medium</t>
  </si>
  <si>
    <t xml:space="preserve">I-01, I-02, P-04, P-06</t>
  </si>
  <si>
    <t xml:space="preserve">2. Onboarding &amp; KYC / implementation</t>
  </si>
  <si>
    <t xml:space="preserve">IDP (extract/classify), workflow agents, policy Q&amp;A</t>
  </si>
  <si>
    <t xml:space="preserve">High (KYC/AML)</t>
  </si>
  <si>
    <t xml:space="preserve">E-01, I-05, C-08</t>
  </si>
  <si>
    <t xml:space="preserve">3. Account &amp; liquidity structuring</t>
  </si>
  <si>
    <t xml:space="preserve">Recommendation/optimization under jurisdictional rules</t>
  </si>
  <si>
    <t xml:space="preserve">Medium–high</t>
  </si>
  <si>
    <t xml:space="preserve">C-02, P-03</t>
  </si>
  <si>
    <t xml:space="preserve">4. Instruction capture &amp; enrichment</t>
  </si>
  <si>
    <t xml:space="preserve">Classification, repair, ISO 20022 enrichment</t>
  </si>
  <si>
    <t xml:space="preserve">Medium</t>
  </si>
  <si>
    <t xml:space="preserve">E-03, C-03</t>
  </si>
  <si>
    <t xml:space="preserve">5. Screening (sanctions, fraud, AML)</t>
  </si>
  <si>
    <t xml:space="preserve">Anomaly detection, alert triage with explanations, federated learning</t>
  </si>
  <si>
    <t xml:space="preserve">Highest (Tier 4)</t>
  </si>
  <si>
    <t xml:space="preserve">E-02, E-08, C-06</t>
  </si>
  <si>
    <t xml:space="preserve">6. Processing, clearing, settlement</t>
  </si>
  <si>
    <t xml:space="preserve">Predict fails, optimize routing, tokenized settlement</t>
  </si>
  <si>
    <t xml:space="preserve">High</t>
  </si>
  <si>
    <t xml:space="preserve">C-03, C-10</t>
  </si>
  <si>
    <t xml:space="preserve">7. Exceptions, investigations, disputes</t>
  </si>
  <si>
    <t xml:space="preserve">Case copilots, agentic outreach drafting, root-cause clustering</t>
  </si>
  <si>
    <t xml:space="preserve">I-03, E-04</t>
  </si>
  <si>
    <t xml:space="preserve">8. Reconciliation &amp; reporting</t>
  </si>
  <si>
    <t xml:space="preserve">Break resolution agents, narrative generation, regulatory reporting</t>
  </si>
  <si>
    <t xml:space="preserve">E-05, E-06, E-09</t>
  </si>
  <si>
    <t xml:space="preserve">9. Client servicing</t>
  </si>
  <si>
    <t xml:space="preserve">Conversational assistants (client and agent-facing), containment</t>
  </si>
  <si>
    <t xml:space="preserve">C-05, E-10, I-04</t>
  </si>
  <si>
    <t xml:space="preserve">10. Pricing &amp; billing</t>
  </si>
  <si>
    <t xml:space="preserve">Leakage detection, price optimization, deposit pricing</t>
  </si>
  <si>
    <t xml:space="preserve">Medium (conduct)</t>
  </si>
  <si>
    <t xml:space="preserve">P-01, P-02, P-03, P-05</t>
  </si>
  <si>
    <t xml:space="preserve">11. Product development &amp; localization</t>
  </si>
  <si>
    <t xml:space="preserve">Discovery synthesis, spec drafting, rules-driven localization</t>
  </si>
  <si>
    <t xml:space="preserve">Low</t>
  </si>
  <si>
    <t xml:space="preserve">D-01…D-05</t>
  </si>
  <si>
    <t xml:space="preserve">Ontology — the entity model AI strategy should be aligned to</t>
  </si>
  <si>
    <t xml:space="preserve">Object → properties → links → actions. Every use case must name the entities it reads and writes, the golden source, and the control tier. Jurisdiction is a first-class entity so 30+ markets become configuration, not code. Data-readiness scores are assessed, not measured — replace with the Services data catalog.</t>
  </si>
  <si>
    <t xml:space="preserve">A. Core entities (object types)</t>
  </si>
  <si>
    <t xml:space="preserve">Entity</t>
  </si>
  <si>
    <t xml:space="preserve">Key properties</t>
  </si>
  <si>
    <t xml:space="preserve">Links to</t>
  </si>
  <si>
    <t xml:space="preserve">Golden source (illustrative)</t>
  </si>
  <si>
    <t xml:space="preserve">AI patterns that act on it</t>
  </si>
  <si>
    <t xml:space="preserve">Data readiness (1–5, assessed)</t>
  </si>
  <si>
    <t xml:space="preserve">Client / Legal entity hierarchy</t>
  </si>
  <si>
    <t xml:space="preserve">Group → legal entity → operating unit; KYC status; segment; region</t>
  </si>
  <si>
    <t xml:space="preserve">Relationship, Account, Document, Case, Fee schedule</t>
  </si>
  <si>
    <t xml:space="preserve">KYC/CRM master; onboarding platform</t>
  </si>
  <si>
    <t xml:space="preserve">Retrieve, Predict (propensity/attrition), Recommend</t>
  </si>
  <si>
    <t xml:space="preserve">I-01, I-02, P-02, P-06, E-01</t>
  </si>
  <si>
    <t xml:space="preserve">Entity resolution across markets is the classic gap; consent-order data work is the forcing function.</t>
  </si>
  <si>
    <t xml:space="preserve">Relationship</t>
  </si>
  <si>
    <t xml:space="preserve">Products held, wallet share, coverage team, pricing agreement, revenue by product</t>
  </si>
  <si>
    <t xml:space="preserve">Client, Product, Fee schedule, Employee</t>
  </si>
  <si>
    <t xml:space="preserve">Revenue/pricing systems; CRM</t>
  </si>
  <si>
    <t xml:space="preserve">Predict, Recommend, Optimize</t>
  </si>
  <si>
    <t xml:space="preserve">P-02, P-03, P-06, I-02</t>
  </si>
  <si>
    <t xml:space="preserve">Revenue attribution by product is often reconstructed, not mastered.</t>
  </si>
  <si>
    <t xml:space="preserve">Account / Balance</t>
  </si>
  <si>
    <t xml:space="preserve">Account type, currency, jurisdiction, operating vs non-operating classification, intraday balance, sweep membership</t>
  </si>
  <si>
    <t xml:space="preserve">Client, Jurisdiction, Instruction, Forecast</t>
  </si>
  <si>
    <t xml:space="preserve">Core DDA/ledger; liquidity platform</t>
  </si>
  <si>
    <t xml:space="preserve">Forecast, Optimize, Detect</t>
  </si>
  <si>
    <t xml:space="preserve">C-01, C-02, P-03</t>
  </si>
  <si>
    <t xml:space="preserve">Balances are well-mastered; classification (operating/non-operating) is the model-relevant attribute to standardize.</t>
  </si>
  <si>
    <t xml:space="preserve">Product / Service</t>
  </si>
  <si>
    <t xml:space="preserve">Product code, features, market availability, pricing model, controls required</t>
  </si>
  <si>
    <t xml:space="preserve">Relationship, Fee schedule, Jurisdiction, Control</t>
  </si>
  <si>
    <t xml:space="preserve">Product catalog</t>
  </si>
  <si>
    <t xml:space="preserve">Retrieve, Generate (specs/docs)</t>
  </si>
  <si>
    <t xml:space="preserve">D-02, D-03, I-01</t>
  </si>
  <si>
    <t xml:space="preserve">Catalog completeness by market varies; localization agent depends on it.</t>
  </si>
  <si>
    <t xml:space="preserve">Instruction (payment / trade / settlement)</t>
  </si>
  <si>
    <t xml:space="preserve">ISO 20022 fields, rail, currency pair, urgency, status, repair history</t>
  </si>
  <si>
    <t xml:space="preserve">Account, Counterparty, Transaction, Case, Jurisdiction</t>
  </si>
  <si>
    <t xml:space="preserve">Payments engines; Payments Express; custody settlement</t>
  </si>
  <si>
    <t xml:space="preserve">Classify, Repair, Route, Predict (returns/fails)</t>
  </si>
  <si>
    <t xml:space="preserve">E-03, C-03, C-10, C-06</t>
  </si>
  <si>
    <t xml:space="preserve">ISO 20022 (CBPR+ complete Nov 2025) makes this the richest structured entity — exploit it.</t>
  </si>
  <si>
    <t xml:space="preserve">Transaction (posted)</t>
  </si>
  <si>
    <t xml:space="preserve">Amount, value date, fees applied, FX rate, linked instruction</t>
  </si>
  <si>
    <t xml:space="preserve">Account, Fee schedule, Instruction</t>
  </si>
  <si>
    <t xml:space="preserve">Ledgers</t>
  </si>
  <si>
    <t xml:space="preserve">Detect (leakage), Reconcile</t>
  </si>
  <si>
    <t xml:space="preserve">P-01, P-05, E-05</t>
  </si>
  <si>
    <t xml:space="preserve">Fee-applied vs fee-contracted comparison is the leakage engine.</t>
  </si>
  <si>
    <t xml:space="preserve">Counterparty / Beneficiary</t>
  </si>
  <si>
    <t xml:space="preserve">Identity, bank, country, risk rating, history of returns/fraud flags</t>
  </si>
  <si>
    <t xml:space="preserve">Instruction, Screening alert, Client</t>
  </si>
  <si>
    <t xml:space="preserve">Beneficiary master; screening systems</t>
  </si>
  <si>
    <t xml:space="preserve">Detect (anomaly), Classify (risk)</t>
  </si>
  <si>
    <t xml:space="preserve">C-06, E-02, E-08</t>
  </si>
  <si>
    <t xml:space="preserve">Beneficiary change and first-time payee are the highest-signal fraud features.</t>
  </si>
  <si>
    <t xml:space="preserve">Document</t>
  </si>
  <si>
    <t xml:space="preserve">Type (KYC doc, LC, invoice, contract, indenture), extracted fields, confidence, version, jurisdiction</t>
  </si>
  <si>
    <t xml:space="preserve">Client, Instruction, Case, Control</t>
  </si>
  <si>
    <t xml:space="preserve">Document platforms; IDP outputs</t>
  </si>
  <si>
    <t xml:space="preserve">Extract, Classify, Check (compliance), Generate (summaries)</t>
  </si>
  <si>
    <t xml:space="preserve">E-01, E-07, C-07, C-11</t>
  </si>
  <si>
    <t xml:space="preserve">IDP is proven (~80% cut); the missing piece is a canonical document-type taxonomy across business lines.</t>
  </si>
  <si>
    <t xml:space="preserve">Case / Exception</t>
  </si>
  <si>
    <t xml:space="preserve">Type (repair, investigation, dispute, break), SLA, root cause, resolution steps, outcome</t>
  </si>
  <si>
    <t xml:space="preserve">Instruction, Client, Employee, Inquiry</t>
  </si>
  <si>
    <t xml:space="preserve">Case management; gpi tracker</t>
  </si>
  <si>
    <t xml:space="preserve">Retrieve, Recommend next step, Generate outreach, Cluster root causes</t>
  </si>
  <si>
    <t xml:space="preserve">I-03, E-04, E-05, E-06</t>
  </si>
  <si>
    <t xml:space="preserve">Case text is the training corpus for Ops Assist; label root causes now.</t>
  </si>
  <si>
    <t xml:space="preserve">Inquiry / Interaction</t>
  </si>
  <si>
    <t xml:space="preserve">Channel, intent, sentiment, containment, linked case</t>
  </si>
  <si>
    <t xml:space="preserve">Client, Case, Employee</t>
  </si>
  <si>
    <t xml:space="preserve">Contact-center platform; CitiDirect</t>
  </si>
  <si>
    <t xml:space="preserve">Classify intent, Converse, Summarize</t>
  </si>
  <si>
    <t xml:space="preserve">C-05, E-10, D-01</t>
  </si>
  <si>
    <t xml:space="preserve">3M+ inquiries/yr is the discovery goldmine for product (D-01).</t>
  </si>
  <si>
    <t xml:space="preserve">Fee schedule / Price</t>
  </si>
  <si>
    <t xml:space="preserve">Contracted fees, tiers, waivers, FX margins, effective dates, approvals</t>
  </si>
  <si>
    <t xml:space="preserve">Relationship, Product, Transaction</t>
  </si>
  <si>
    <t xml:space="preserve">Billing/pricing systems</t>
  </si>
  <si>
    <t xml:space="preserve">Detect (leakage), Optimize, Recommend</t>
  </si>
  <si>
    <t xml:space="preserve">P-01, P-02, P-04, P-05</t>
  </si>
  <si>
    <t xml:space="preserve">Usually the least-digitized entity (contracts in PDFs) — IDP on contracts unlocks P-01.</t>
  </si>
  <si>
    <t xml:space="preserve">Jurisdiction / Market</t>
  </si>
  <si>
    <t xml:space="preserve">Regulatory rules, formats, cut-offs, data-residency, product availability, local approvals</t>
  </si>
  <si>
    <t xml:space="preserve">Product, Instruction, Control, Account</t>
  </si>
  <si>
    <t xml:space="preserve">Regulatory inventory; product catalog</t>
  </si>
  <si>
    <t xml:space="preserve">Retrieve, Generate (localization rules), Monitor (reg change)</t>
  </si>
  <si>
    <t xml:space="preserve">D-03, I-07, C-02</t>
  </si>
  <si>
    <t xml:space="preserve">Encoding rules as data is the single biggest enabler of 'global design, local adaptation'.</t>
  </si>
  <si>
    <t xml:space="preserve">Control / Regulation</t>
  </si>
  <si>
    <t xml:space="preserve">Control objective, owner, test evidence, applicable models, tier</t>
  </si>
  <si>
    <t xml:space="preserve">Model/Agent, Jurisdiction, Product</t>
  </si>
  <si>
    <t xml:space="preserve">GRC / control inventory</t>
  </si>
  <si>
    <t xml:space="preserve">Retrieve, Map, Generate evidence</t>
  </si>
  <si>
    <t xml:space="preserve">E-09, I-07 and every Tier-3/4 use case</t>
  </si>
  <si>
    <t xml:space="preserve">Links use cases to controls; required by SR 26-2-style governance and EU AI Act readiness.</t>
  </si>
  <si>
    <t xml:space="preserve">Model / Agent</t>
  </si>
  <si>
    <t xml:space="preserve">Purpose, tier, inputs (entities), validation status, monitoring metrics, owner, cost per run</t>
  </si>
  <si>
    <t xml:space="preserve">Control, Use case, Employee</t>
  </si>
  <si>
    <t xml:space="preserve">Model inventory (MRM)</t>
  </si>
  <si>
    <t xml:space="preserve">Monitor, Evaluate</t>
  </si>
  <si>
    <t xml:space="preserve">All</t>
  </si>
  <si>
    <t xml:space="preserve">Extend the MRM inventory to GenAI/agents with entity-level lineage — the audit trail regulators will ask for.</t>
  </si>
  <si>
    <t xml:space="preserve">Employee / Role</t>
  </si>
  <si>
    <t xml:space="preserve">Role, market, entitlements, AI tools, skills</t>
  </si>
  <si>
    <t xml:space="preserve">Case, Inquiry, Relationship</t>
  </si>
  <si>
    <t xml:space="preserve">HR/entitlements</t>
  </si>
  <si>
    <t xml:space="preserve">Assist, Route</t>
  </si>
  <si>
    <t xml:space="preserve">I-04, E-10, I-06</t>
  </si>
  <si>
    <t xml:space="preserve">Entitlement-aware retrieval is a control, not a feature.</t>
  </si>
  <si>
    <t xml:space="preserve">Forecast / Scenario</t>
  </si>
  <si>
    <t xml:space="preserve">Horizon, entity scope, method, accuracy, assumptions</t>
  </si>
  <si>
    <t xml:space="preserve">Account, Client, Instruction</t>
  </si>
  <si>
    <t xml:space="preserve">Forecasting service (new)</t>
  </si>
  <si>
    <t xml:space="preserve">Predict, Simulate</t>
  </si>
  <si>
    <t xml:space="preserve">New entity — define once and share between client forecasting and deposit pricing.</t>
  </si>
  <si>
    <t xml:space="preserve">B. AI capability taxonomy (the verbs)</t>
  </si>
  <si>
    <t xml:space="preserve">Capability</t>
  </si>
  <si>
    <t xml:space="preserve">What it does</t>
  </si>
  <si>
    <t xml:space="preserve">Typical technique</t>
  </si>
  <si>
    <t xml:space="preserve">Default control tier</t>
  </si>
  <si>
    <t xml:space="preserve">Example use cases</t>
  </si>
  <si>
    <t xml:space="preserve">Non-negotiable control</t>
  </si>
  <si>
    <t xml:space="preserve">Extract</t>
  </si>
  <si>
    <t xml:space="preserve">Turn documents/images into structured fields</t>
  </si>
  <si>
    <t xml:space="preserve">IDP (OCR + LLM), layout models</t>
  </si>
  <si>
    <t xml:space="preserve">Tier 1–2 (Tier 3 if feeding KYC decisions)</t>
  </si>
  <si>
    <t xml:space="preserve">E-01, E-07, C-07</t>
  </si>
  <si>
    <t xml:space="preserve">Confidence thresholds; human review below threshold</t>
  </si>
  <si>
    <t xml:space="preserve">Classify / Route</t>
  </si>
  <si>
    <t xml:space="preserve">Assign intent, type, queue, risk band</t>
  </si>
  <si>
    <t xml:space="preserve">Classifiers, LLM few-shot</t>
  </si>
  <si>
    <t xml:space="preserve">Tier 1–3</t>
  </si>
  <si>
    <t xml:space="preserve">E-03, E-10, E-02</t>
  </si>
  <si>
    <t xml:space="preserve">Bias testing where routing affects client outcomes</t>
  </si>
  <si>
    <t xml:space="preserve">Predict / Forecast</t>
  </si>
  <si>
    <t xml:space="preserve">Estimate future balances, fails, returns, attrition</t>
  </si>
  <si>
    <t xml:space="preserve">Gradient boosting, time series, foundation-model features</t>
  </si>
  <si>
    <t xml:space="preserve">Tier 2–3</t>
  </si>
  <si>
    <t xml:space="preserve">C-01, C-10, P-06</t>
  </si>
  <si>
    <t xml:space="preserve">Traditional MRM validation applies (in scope of SR 26-2)</t>
  </si>
  <si>
    <t xml:space="preserve">Detect / Monitor</t>
  </si>
  <si>
    <t xml:space="preserve">Find anomalies, fraud, leakage, drift</t>
  </si>
  <si>
    <t xml:space="preserve">Anomaly detection, federated models</t>
  </si>
  <si>
    <t xml:space="preserve">Tier 3–4</t>
  </si>
  <si>
    <t xml:space="preserve">C-06, E-08, P-01</t>
  </si>
  <si>
    <t xml:space="preserve">False-positive budget; explanation for every alert</t>
  </si>
  <si>
    <t xml:space="preserve">Retrieve / Answer</t>
  </si>
  <si>
    <t xml:space="preserve">Ground answers in policies, cases, contracts</t>
  </si>
  <si>
    <t xml:space="preserve">RAG over governed corpora</t>
  </si>
  <si>
    <t xml:space="preserve">Tier 1–2</t>
  </si>
  <si>
    <t xml:space="preserve">I-04, I-01, I-02</t>
  </si>
  <si>
    <t xml:space="preserve">Entitlement-aware retrieval; citation required</t>
  </si>
  <si>
    <t xml:space="preserve">Generate</t>
  </si>
  <si>
    <t xml:space="preserve">Draft responses, specs, RFPs, narratives</t>
  </si>
  <si>
    <t xml:space="preserve">LLM with templates and evals</t>
  </si>
  <si>
    <t xml:space="preserve">I-01, D-02, C-10</t>
  </si>
  <si>
    <t xml:space="preserve">Human edits and sends; no auto-send to clients</t>
  </si>
  <si>
    <t xml:space="preserve">Recommend / Decide (with human)</t>
  </si>
  <si>
    <t xml:space="preserve">Propose price, structure, next action</t>
  </si>
  <si>
    <t xml:space="preserve">Optimization + LLM explanation</t>
  </si>
  <si>
    <t xml:space="preserve">Tier 3</t>
  </si>
  <si>
    <t xml:space="preserve">P-02, C-02, C-03</t>
  </si>
  <si>
    <t xml:space="preserve">Documented override; conduct review for pricing</t>
  </si>
  <si>
    <t xml:space="preserve">Act (bounded agent)</t>
  </si>
  <si>
    <t xml:space="preserve">Execute multi-step tasks within limits</t>
  </si>
  <si>
    <t xml:space="preserve">Agent runtime with tools, guardrails, kill switch</t>
  </si>
  <si>
    <t xml:space="preserve">E-04, E-05, I-06, C-09</t>
  </si>
  <si>
    <t xml:space="preserve">Action allow-lists, spend/volume caps, post-hoc review, full trace</t>
  </si>
  <si>
    <t xml:space="preserve">Simulate / Optimize</t>
  </si>
  <si>
    <t xml:space="preserve">Scenario analysis for liquidity, routing, pricing</t>
  </si>
  <si>
    <t xml:space="preserve">OR/optimization + ML</t>
  </si>
  <si>
    <t xml:space="preserve">C-02, C-03, P-03</t>
  </si>
  <si>
    <t xml:space="preserve">Assumptions logged; sensitivity shown to user</t>
  </si>
  <si>
    <t xml:space="preserve">C. Alignment rule — the test every use case must pass</t>
  </si>
  <si>
    <t xml:space="preserve">Use case = (Entities read/written) × (Capability) × (Control tier) × (Accountable owner) × (Golden source confirmed). If any factor is blank, the use case goes to the data/ontology backlog, not the build backlog. This one rule converts 'AI ideas' into a manageable pipeline and is what separates the 5% of enterprises capturing value at scale (BCG, Sep 2025) from the 60% seeing minimal gains.</t>
  </si>
  <si>
    <t xml:space="preserve">How it is done elsewhere: banks are converging on object-oriented operational ontologies (Palantir-style object/link/action models are in production at several large FIs), knowledge graphs for KYC/AML entity resolution, and ISO 20022 as the de facto shared payments ontology. Citi's data-lineage remediation under the remaining consent orders is the natural funding vehicle: lineage work and ontology work are the same work, described for two audiences.</t>
  </si>
  <si>
    <t xml:space="preserve">AI Maturity Model — where Services sits and what moves it</t>
  </si>
  <si>
    <t xml:space="preserve">8 dimensions × 5 levels. 'Today' is an outside-in assessment from public evidence (Investor Day May 2026, Q2'26 call, Evident 2025, press); treat as a hypothesis to validate with the hiring manager. Average ≈ 2.5 = middle of the pack, which matches Evident #12.</t>
  </si>
  <si>
    <t xml:space="preserve">Dimension</t>
  </si>
  <si>
    <t xml:space="preserve">L1 Exploring</t>
  </si>
  <si>
    <t xml:space="preserve">L2 Piloting</t>
  </si>
  <si>
    <t xml:space="preserve">L3 Scaling pockets</t>
  </si>
  <si>
    <t xml:space="preserve">L4 Industrialized</t>
  </si>
  <si>
    <t xml:space="preserve">L5 AI-native</t>
  </si>
  <si>
    <t xml:space="preserve">Today (1–5)</t>
  </si>
  <si>
    <t xml:space="preserve">Evidence for today</t>
  </si>
  <si>
    <t xml:space="preserve">12-mo target</t>
  </si>
  <si>
    <t xml:space="preserve">24-mo target</t>
  </si>
  <si>
    <t xml:space="preserve">What moves the needle</t>
  </si>
  <si>
    <t xml:space="preserve">Strategy &amp; value governance</t>
  </si>
  <si>
    <t xml:space="preserve">Ad-hoc ideas; no owner</t>
  </si>
  <si>
    <t xml:space="preserve">Named pillars and pipeline; activity metrics</t>
  </si>
  <si>
    <t xml:space="preserve">Business-line owners; some P&amp;L attribution</t>
  </si>
  <si>
    <t xml:space="preserve">Value ledger with Finance sign-off; portfolio managed by ROI</t>
  </si>
  <si>
    <t xml:space="preserve">AI P&amp;L disclosed; strategy bets sequenced by value</t>
  </si>
  <si>
    <t xml:space="preserve">Five Assist pillars, 50+ use-case pipeline, EMT sponsorship; but no disclosed $ value (JPM discloses ~$2B); Evident Leadership pillar 26th, Transparency 30th.</t>
  </si>
  <si>
    <t xml:space="preserve">This role: value ledger, quarterly value report, decision rights. Publish selectively (Transparency pillar).</t>
  </si>
  <si>
    <t xml:space="preserve">Data &amp; ontology</t>
  </si>
  <si>
    <t xml:space="preserve">Siloed, undocumented</t>
  </si>
  <si>
    <t xml:space="preserve">Lineage projects; some catalogs</t>
  </si>
  <si>
    <t xml:space="preserve">Shared entities for priority domains</t>
  </si>
  <si>
    <t xml:space="preserve">Ontology as product; golden sources enforced</t>
  </si>
  <si>
    <t xml:space="preserve">Real-time, entitlement-aware, self-describing data</t>
  </si>
  <si>
    <t xml:space="preserve">Consent-order data/regulatory-reporting remediation still open (Mason, Dec 2025); ISO 20022 richness available; Platforms &amp; Data Solutions exists in Services.</t>
  </si>
  <si>
    <t xml:space="preserve">Fund ontology v1 for 8 entities (Ontology tab); merge with lineage program; readiness score gates the pipeline.</t>
  </si>
  <si>
    <t xml:space="preserve">Platform &amp; tooling</t>
  </si>
  <si>
    <t xml:space="preserve">Individual tools</t>
  </si>
  <si>
    <t xml:space="preserve">Enterprise assistants deployed</t>
  </si>
  <si>
    <t xml:space="preserve">Multi-model access; agent pilots; dev agents</t>
  </si>
  <si>
    <t xml:space="preserve">Reusable components (IDP, RAG, evals, agent runtime) with owners</t>
  </si>
  <si>
    <t xml:space="preserve">Composable AI platform; cost/inference governed</t>
  </si>
  <si>
    <t xml:space="preserve">Enterprise stack strong (Gemini + Anthropic + Llama; Stylus Workspaces agentic pilot; Copilot/Devin to 40k devs; ~$2B/yr Services platform spend) but Services-specific reusable components not evident.</t>
  </si>
  <si>
    <t xml:space="preserve">Component roadmap with product owners; cost-per-run telemetry; abstraction layer for model portability.</t>
  </si>
  <si>
    <t xml:space="preserve">Model risk &amp; controls</t>
  </si>
  <si>
    <t xml:space="preserve">Traditional MRM only</t>
  </si>
  <si>
    <t xml:space="preserve">GenAI guidance drafted; case-by-case review</t>
  </si>
  <si>
    <t xml:space="preserve">Tiered regime; pre-approved patterns for low tiers</t>
  </si>
  <si>
    <t xml:space="preserve">Continuous evals/monitoring; agent controls (allow-lists, kill switch)</t>
  </si>
  <si>
    <t xml:space="preserve">Automated evidence; regulator-ready lineage per use case</t>
  </si>
  <si>
    <t xml:space="preserve">Mature MRM culture (SR 11-7 heritage; Services AI risk roles cite SHAP/LIME, AI risk registers). SR 26-2 (Apr 2026) puts GenAI/agentic outside MRM scope → bank's own governance must fill it.</t>
  </si>
  <si>
    <t xml:space="preserve">Joint MRM–Services pod; tiered control library; eval harness as shared component; publish validation SLAs.</t>
  </si>
  <si>
    <t xml:space="preserve">Talent &amp; ways of working</t>
  </si>
  <si>
    <t xml:space="preserve">Enthusiasts</t>
  </si>
  <si>
    <t xml:space="preserve">Broad training; champions network</t>
  </si>
  <si>
    <t xml:space="preserve">Business teams redesign workflows</t>
  </si>
  <si>
    <t xml:space="preserve">Roles redefined; AI fluency in performance criteria</t>
  </si>
  <si>
    <t xml:space="preserve">AI-native org design; super-ICs</t>
  </si>
  <si>
    <t xml:space="preserve">180k+ employees on tools, ~70–90% adoption, mandatory prompt training, 4,000 accelerators; but Head of AI left after 7 months (Apr 2026) and AI CoE lead departing (Oct 2026).</t>
  </si>
  <si>
    <t xml:space="preserve">Workflow redesign (the #1 differentiator of McKinsey 'high performers': 73% vs 25%); stable business-line AI leadership.</t>
  </si>
  <si>
    <t xml:space="preserve">Operating model</t>
  </si>
  <si>
    <t xml:space="preserve">Central lab</t>
  </si>
  <si>
    <t xml:space="preserve">Hub with informal spokes</t>
  </si>
  <si>
    <t xml:space="preserve">Business-line AI product leads with budgets</t>
  </si>
  <si>
    <t xml:space="preserve">Hub-and-spoke with shared pipeline and decision rights</t>
  </si>
  <si>
    <t xml:space="preserve">Federated by default; hub sets standards only</t>
  </si>
  <si>
    <t xml:space="preserve">Firmwide AI org reorganized May 2026 (Group Head of AI; Office of AI Strategy); Services business-line AI roles (this one) being hired now.</t>
  </si>
  <si>
    <t xml:space="preserve">Define decision rights (Operating Model tab); RACI per use case; one intake.</t>
  </si>
  <si>
    <t xml:space="preserve">Client co-creation &amp; commercialization</t>
  </si>
  <si>
    <t xml:space="preserve">No client-facing AI</t>
  </si>
  <si>
    <t xml:space="preserve">Pilots with a few clients</t>
  </si>
  <si>
    <t xml:space="preserve">Named design partners; first GA product</t>
  </si>
  <si>
    <t xml:space="preserve">Cohorts per business line; pricing tested; GTM in waves</t>
  </si>
  <si>
    <t xml:space="preserve">AI features in every RFP; clients build on Citi's agent rails</t>
  </si>
  <si>
    <t xml:space="preserve">CitiDirect AI assistant in client pilot (+50% containment); Sales Assist internal; no client-facing AI product at BofA CashPro Forecasting scale (3,000+ clients).</t>
  </si>
  <si>
    <t xml:space="preserve">10-client cohort per business line; forecasting + receivables GA; pricing experiments in Commercial segment.</t>
  </si>
  <si>
    <t xml:space="preserve">Measurement &amp; value realization</t>
  </si>
  <si>
    <t xml:space="preserve">Anecdotes</t>
  </si>
  <si>
    <t xml:space="preserve">Activity metrics (users, prompts, hours)</t>
  </si>
  <si>
    <t xml:space="preserve">Use-case KPIs; some P&amp;L attribution</t>
  </si>
  <si>
    <t xml:space="preserve">Value ledger reconciled by Finance; leading and lagging indicators</t>
  </si>
  <si>
    <t xml:space="preserve">AI value in external disclosures and targets</t>
  </si>
  <si>
    <t xml:space="preserve">Metrics cited are users/prompts/hours (100k dev hours/wk firmwide); Services cites % effort reductions but no $ figure.</t>
  </si>
  <si>
    <t xml:space="preserve">Business Case tab as the template; Finance co-owns; report quarterly.</t>
  </si>
  <si>
    <t xml:space="preserve">Overall (average)</t>
  </si>
  <si>
    <t xml:space="preserve">Middle of the pack ≈ 2.5. Target ≈3.4 in 12 months, 4.0 in 24 months.</t>
  </si>
  <si>
    <t xml:space="preserve">Reading the model</t>
  </si>
  <si>
    <t xml:space="preserve">Why this matters for the strategy: the two lowest dimensions (Data &amp; ontology; Client co-creation; Measurement; Operating model — all at L2) are exactly the ones a business-line AI product leader can move without new technology. Platform and talent are already L3 thanks to the enterprise program. The plan therefore over-invests in the L2 dimensions during the first 12 months — that is where the score, and the P&amp;L, moves.</t>
  </si>
  <si>
    <t xml:space="preserve">Use-Case Portfolio — 40 use cases across five mandates, scored</t>
  </si>
  <si>
    <t xml:space="preserve">Score = weighted 1–5 ratings scaled to 100 (control burden inverted). Horizon = Now if score ≥ Now threshold and time-to-value ≤ max; Next if score ≥ Next threshold; else Later. Ratings are outside-in judgments — run this as a workshop with the business line and replace them.</t>
  </si>
  <si>
    <t xml:space="preserve">Scoring weights &amp; thresholds (edit blue cells)</t>
  </si>
  <si>
    <t xml:space="preserve">Value</t>
  </si>
  <si>
    <t xml:space="preserve">Feasibility</t>
  </si>
  <si>
    <t xml:space="preserve">Data readiness</t>
  </si>
  <si>
    <t xml:space="preserve">Control ease</t>
  </si>
  <si>
    <t xml:space="preserve">Strategic fit</t>
  </si>
  <si>
    <t xml:space="preserve">Now: score ≥</t>
  </si>
  <si>
    <t xml:space="preserve">Next: score ≥</t>
  </si>
  <si>
    <t xml:space="preserve">Now: max TTV (mo)</t>
  </si>
  <si>
    <t xml:space="preserve">ID</t>
  </si>
  <si>
    <t xml:space="preserve">Use case</t>
  </si>
  <si>
    <t xml:space="preserve">AI pattern</t>
  </si>
  <si>
    <t xml:space="preserve">Ontology entities</t>
  </si>
  <si>
    <t xml:space="preserve">Value type</t>
  </si>
  <si>
    <t xml:space="preserve">Value (1–5)</t>
  </si>
  <si>
    <t xml:space="preserve">Feasibility (1–5)</t>
  </si>
  <si>
    <t xml:space="preserve">Data readiness (1–5)</t>
  </si>
  <si>
    <t xml:space="preserve">Control burden (1–5, 5=heaviest)</t>
  </si>
  <si>
    <t xml:space="preserve">Time-to-value (months)</t>
  </si>
  <si>
    <t xml:space="preserve">Strategic fit (1–5)</t>
  </si>
  <si>
    <t xml:space="preserve">Score (0–100)</t>
  </si>
  <si>
    <t xml:space="preserve">Peer precedent</t>
  </si>
  <si>
    <t xml:space="preserve">Primary KPI</t>
  </si>
  <si>
    <t xml:space="preserve">Owner (function)</t>
  </si>
  <si>
    <t xml:space="preserve">Rank helper</t>
  </si>
  <si>
    <t xml:space="preserve">Rank</t>
  </si>
  <si>
    <t xml:space="preserve">I-01</t>
  </si>
  <si>
    <t xml:space="preserve">Internal</t>
  </si>
  <si>
    <t xml:space="preserve">All (Sales)</t>
  </si>
  <si>
    <t xml:space="preserve">Sales Assist / RFP response engine</t>
  </si>
  <si>
    <t xml:space="preserve">Drafts RFP and proposal responses from approved product, pricing and control content; tracks ~10k complex engagements/yr.</t>
  </si>
  <si>
    <t xml:space="preserve">Retrieve + Generate</t>
  </si>
  <si>
    <t xml:space="preserve">Client, Product, Document, Fee schedule</t>
  </si>
  <si>
    <t xml:space="preserve">Revenue (win rate), Cost</t>
  </si>
  <si>
    <t xml:space="preserve">Citi Services already targets this (Investor Day 2026); StanChart SC GPT; GS sales enablement</t>
  </si>
  <si>
    <t xml:space="preserve">RFP cycle time; win rate; hours per RFP</t>
  </si>
  <si>
    <t xml:space="preserve">Sales enablement + AI product lead</t>
  </si>
  <si>
    <t xml:space="preserve">I-02</t>
  </si>
  <si>
    <t xml:space="preserve">All (Coverage)</t>
  </si>
  <si>
    <t xml:space="preserve">Coverage briefing agent</t>
  </si>
  <si>
    <t xml:space="preserve">Pre-meeting brief: balances, flows, open cases, pricing, news; next-best-action suggestions.</t>
  </si>
  <si>
    <t xml:space="preserve">Retrieve + Generate + Predict</t>
  </si>
  <si>
    <t xml:space="preserve">Client, Relationship, Account, Case</t>
  </si>
  <si>
    <t xml:space="preserve">Revenue (share of wallet)</t>
  </si>
  <si>
    <t xml:space="preserve">DBS credit-memo agents (1,500 bankers, ≥30% time saved); Wells Fargo Agentspace</t>
  </si>
  <si>
    <t xml:space="preserve">Prep time per meeting; cross-sell actions taken</t>
  </si>
  <si>
    <t xml:space="preserve">Coverage + AI product lead</t>
  </si>
  <si>
    <t xml:space="preserve">I-03</t>
  </si>
  <si>
    <t xml:space="preserve">7. Exceptions, investigations</t>
  </si>
  <si>
    <t xml:space="preserve">Ops Assist — investigations &amp; inquiry copilot</t>
  </si>
  <si>
    <t xml:space="preserve">Resolves 'where is my payment' with gpi tracking, case history, and drafted client responses; suggests next step.</t>
  </si>
  <si>
    <t xml:space="preserve">Retrieve + Generate + Recommend</t>
  </si>
  <si>
    <t xml:space="preserve">Instruction, Case, Inquiry, Client</t>
  </si>
  <si>
    <t xml:space="preserve">Cost, Client experience</t>
  </si>
  <si>
    <t xml:space="preserve">JPM Payments: manual exceptions −50% while volumes +50%</t>
  </si>
  <si>
    <t xml:space="preserve">Handle time; cases per FTE; client SLA hit rate</t>
  </si>
  <si>
    <t xml:space="preserve">Payments Ops</t>
  </si>
  <si>
    <t xml:space="preserve">I-04</t>
  </si>
  <si>
    <t xml:space="preserve">Policy &amp; procedure Q&amp;A for ops in 90+ markets</t>
  </si>
  <si>
    <t xml:space="preserve">Extends Citi Assist with Services procedures, cut-offs and market rules; entitlement-aware.</t>
  </si>
  <si>
    <t xml:space="preserve">Retrieve</t>
  </si>
  <si>
    <t xml:space="preserve">Control, Jurisdiction, Product, Employee</t>
  </si>
  <si>
    <t xml:space="preserve">Cost, Risk</t>
  </si>
  <si>
    <t xml:space="preserve">Citi Assist (enterprise), BofA Erica for Employees (IT calls −50%)</t>
  </si>
  <si>
    <t xml:space="preserve">Deflected escalations; time to answer</t>
  </si>
  <si>
    <t xml:space="preserve">Ops COO</t>
  </si>
  <si>
    <t xml:space="preserve">I-05</t>
  </si>
  <si>
    <t xml:space="preserve">2. Onboarding &amp; implementation</t>
  </si>
  <si>
    <t xml:space="preserve">Implementation PM copilot</t>
  </si>
  <si>
    <t xml:space="preserve">Builds client implementation plans, document checklists and status updates from templates and case history.</t>
  </si>
  <si>
    <t xml:space="preserve">Client, Document, Product, Jurisdiction</t>
  </si>
  <si>
    <t xml:space="preserve">Cost, Revenue (time-to-revenue)</t>
  </si>
  <si>
    <t xml:space="preserve">GS client onboarding agents with Anthropic</t>
  </si>
  <si>
    <t xml:space="preserve">Implementation cycle time; PM capacity</t>
  </si>
  <si>
    <t xml:space="preserve">Implementations</t>
  </si>
  <si>
    <t xml:space="preserve">I-06</t>
  </si>
  <si>
    <t xml:space="preserve">All (Tech)</t>
  </si>
  <si>
    <t xml:space="preserve">11. Product &amp; localization</t>
  </si>
  <si>
    <t xml:space="preserve">Tech Assist — developer agents on Services platforms</t>
  </si>
  <si>
    <t xml:space="preserve">Copilot/Devin-class agents for code, tests, upgrades and legacy remediation across Services' estate.</t>
  </si>
  <si>
    <t xml:space="preserve">Act (bounded) + Generate</t>
  </si>
  <si>
    <t xml:space="preserve">Model/Agent, Product</t>
  </si>
  <si>
    <t xml:space="preserve">Cost, Speed</t>
  </si>
  <si>
    <t xml:space="preserve">Citi: 40k devs, Copilot 5–15%, Devin 2–20x on patches; Services cites 30–40% dev productivity</t>
  </si>
  <si>
    <t xml:space="preserve">Throughput per dev; change lead time; defect rate</t>
  </si>
  <si>
    <t xml:space="preserve">Services Technology</t>
  </si>
  <si>
    <t xml:space="preserve">I-07</t>
  </si>
  <si>
    <t xml:space="preserve">Regulatory-change intelligence agent</t>
  </si>
  <si>
    <t xml:space="preserve">Monitors rule changes in 90+ markets, summarizes, maps to products/controls, opens tasks.</t>
  </si>
  <si>
    <t xml:space="preserve">Monitor + Retrieve + Generate</t>
  </si>
  <si>
    <t xml:space="preserve">Jurisdiction, Control, Product</t>
  </si>
  <si>
    <t xml:space="preserve">Risk, Cost</t>
  </si>
  <si>
    <t xml:space="preserve">Common in Compliance (multiple banks); ties to I-07/D-03 localization</t>
  </si>
  <si>
    <t xml:space="preserve">Reg changes triaged within SLA; rework avoided</t>
  </si>
  <si>
    <t xml:space="preserve">Compliance + Product</t>
  </si>
  <si>
    <t xml:space="preserve">C-01</t>
  </si>
  <si>
    <t xml:space="preserve">Client</t>
  </si>
  <si>
    <t xml:space="preserve">LMS</t>
  </si>
  <si>
    <t xml:space="preserve">3. Liquidity structuring</t>
  </si>
  <si>
    <t xml:space="preserve">Cash-flow forecasting for treasurers (in CitiDirect)</t>
  </si>
  <si>
    <t xml:space="preserve">ML forecasts of balances and flows by entity/currency with accuracy tracking; feeds liquidity decisions.</t>
  </si>
  <si>
    <t xml:space="preserve">Account, Instruction, Forecast, Client</t>
  </si>
  <si>
    <t xml:space="preserve">Deposits (NII), Retention</t>
  </si>
  <si>
    <t xml:space="preserve">BofA CashPro Forecasting: 3,000+ clients, 250k client hours saved; JPM cites 20–30% accuracy uplift</t>
  </si>
  <si>
    <t xml:space="preserve">Active clients; forecast MAPE; operating balances of users</t>
  </si>
  <si>
    <t xml:space="preserve">LMS Product</t>
  </si>
  <si>
    <t xml:space="preserve">C-02</t>
  </si>
  <si>
    <t xml:space="preserve">Liquidity structure optimization advisor</t>
  </si>
  <si>
    <t xml:space="preserve">Recommends pooling/sweep/intercompany structures across entities, currencies and jurisdictional constraints.</t>
  </si>
  <si>
    <t xml:space="preserve">Recommend + Optimize</t>
  </si>
  <si>
    <t xml:space="preserve">Account, Jurisdiction, Forecast, Product</t>
  </si>
  <si>
    <t xml:space="preserve">Deposits (NII), Fees</t>
  </si>
  <si>
    <t xml:space="preserve">No scaled peer product yet — white space; Kyriba/HighRadius moving from TMS side</t>
  </si>
  <si>
    <t xml:space="preserve">Structures recommended/adopted; balances consolidated</t>
  </si>
  <si>
    <t xml:space="preserve">C-03</t>
  </si>
  <si>
    <t xml:space="preserve">4./6. Instruction &amp; processing</t>
  </si>
  <si>
    <t xml:space="preserve">Intelligent payment orchestration / routing</t>
  </si>
  <si>
    <t xml:space="preserve">Chooses rail (instant, wire, Payments Express, Token Services) by cost, speed, FX, success probability; explains choice.</t>
  </si>
  <si>
    <t xml:space="preserve">Recommend + Optimize + Predict</t>
  </si>
  <si>
    <t xml:space="preserve">Instruction, Jurisdiction, Counterparty, Fee schedule</t>
  </si>
  <si>
    <t xml:space="preserve">Fees, Client experience, Cost</t>
  </si>
  <si>
    <t xml:space="preserve">Named in the JD; Stripe/Adyen do this for merchants; JPM agentic payments</t>
  </si>
  <si>
    <t xml:space="preserve">Straight-through rate; cost per payment; client NPS</t>
  </si>
  <si>
    <t xml:space="preserve">Payments Product</t>
  </si>
  <si>
    <t xml:space="preserve">C-04</t>
  </si>
  <si>
    <t xml:space="preserve">Trade &amp; WC / Payments</t>
  </si>
  <si>
    <t xml:space="preserve">8. Reconciliation</t>
  </si>
  <si>
    <t xml:space="preserve">Predictive receivables &amp; cash application</t>
  </si>
  <si>
    <t xml:space="preserve">Matches remittances to invoices, predicts payer behavior and DSO; automates cash application.</t>
  </si>
  <si>
    <t xml:space="preserve">Extract + Classify + Predict</t>
  </si>
  <si>
    <t xml:space="preserve">Transaction, Document, Counterparty, Client</t>
  </si>
  <si>
    <t xml:space="preserve">Fees, Working-capital balances</t>
  </si>
  <si>
    <t xml:space="preserve">Named in the JD; HighRadius (186 agents), SAP Taulia working-capital agent</t>
  </si>
  <si>
    <t xml:space="preserve">Auto-match rate; DSO days improved; clients live</t>
  </si>
  <si>
    <t xml:space="preserve">Receivables Product</t>
  </si>
  <si>
    <t xml:space="preserve">C-05</t>
  </si>
  <si>
    <t xml:space="preserve">All (CitiDirect)</t>
  </si>
  <si>
    <t xml:space="preserve">CitiDirect AI assistant — scale to 30 markets</t>
  </si>
  <si>
    <t xml:space="preserve">Conversational servicing and navigation inside CitiDirect; escalates to humans with full context.</t>
  </si>
  <si>
    <t xml:space="preserve">Converse + Retrieve</t>
  </si>
  <si>
    <t xml:space="preserve">Inquiry, Client, Account, Instruction</t>
  </si>
  <si>
    <t xml:space="preserve">Citi pilot: +50% containment; BofA Erica 3.2B interactions</t>
  </si>
  <si>
    <t xml:space="preserve">Containment; CSAT; markets live</t>
  </si>
  <si>
    <t xml:space="preserve">Digital Channels</t>
  </si>
  <si>
    <t xml:space="preserve">C-06</t>
  </si>
  <si>
    <t xml:space="preserve">5. Screening</t>
  </si>
  <si>
    <t xml:space="preserve">Client-side fraud &amp; anomaly alerts</t>
  </si>
  <si>
    <t xml:space="preserve">Flags beneficiary changes, first-time payees and unusual patterns before release; federated signals with Swift.</t>
  </si>
  <si>
    <t xml:space="preserve">Instruction, Counterparty, Client</t>
  </si>
  <si>
    <t xml:space="preserve">Risk, Retention</t>
  </si>
  <si>
    <t xml:space="preserve">Swift AI anomaly service live Jan 2025; federated-learning pilot doubled detection</t>
  </si>
  <si>
    <t xml:space="preserve">Fraud losses avoided; false-positive rate</t>
  </si>
  <si>
    <t xml:space="preserve">Payments Risk + Product</t>
  </si>
  <si>
    <t xml:space="preserve">C-07</t>
  </si>
  <si>
    <t xml:space="preserve">Trade &amp; WC</t>
  </si>
  <si>
    <t xml:space="preserve">2. Onboarding / docs</t>
  </si>
  <si>
    <t xml:space="preserve">Trade document digitization for clients</t>
  </si>
  <si>
    <t xml:space="preserve">Clients upload LCs/invoices; AI structures, pre-checks compliance and flags discrepancies before submission.</t>
  </si>
  <si>
    <t xml:space="preserve">Extract + Check</t>
  </si>
  <si>
    <t xml:space="preserve">Document, Instruction, Jurisdiction</t>
  </si>
  <si>
    <t xml:space="preserve">Fees, Cost, Client experience</t>
  </si>
  <si>
    <t xml:space="preserve">HSBC/ANZ/Lloyds/Microsoft agentic trade-finance PoC (Apr 2026)</t>
  </si>
  <si>
    <t xml:space="preserve">Discrepancy rate; turnaround time</t>
  </si>
  <si>
    <t xml:space="preserve">Trade Product</t>
  </si>
  <si>
    <t xml:space="preserve">C-08</t>
  </si>
  <si>
    <t xml:space="preserve">2. Onboarding</t>
  </si>
  <si>
    <t xml:space="preserve">Supplier onboarding &amp; risk scoring for SCF</t>
  </si>
  <si>
    <t xml:space="preserve">Automates supplier KYC/doc capture and risk scoring across ~440k relationships.</t>
  </si>
  <si>
    <t xml:space="preserve">Client, Document, Counterparty</t>
  </si>
  <si>
    <t xml:space="preserve">Fees, Financing balances</t>
  </si>
  <si>
    <t xml:space="preserve">Citi 'Nirvana' automated onboarding; Taulia</t>
  </si>
  <si>
    <t xml:space="preserve">Suppliers onboarded per month; time to first draw</t>
  </si>
  <si>
    <t xml:space="preserve">C-09</t>
  </si>
  <si>
    <t xml:space="preserve">6. Processing</t>
  </si>
  <si>
    <t xml:space="preserve">Agentic treasury &amp; payments rails (Know-Your-Agent)</t>
  </si>
  <si>
    <t xml:space="preserve">Lets client AI agents initiate/approve payments within mandates: agent identity, limits, liability rules; pilots on AP2 / Agent Pay for Machines / Visa Intelligent Commerce class protocols.</t>
  </si>
  <si>
    <t xml:space="preserve">Act (bounded) + Detect</t>
  </si>
  <si>
    <t xml:space="preserve">Client, Model/Agent, Instruction, Control</t>
  </si>
  <si>
    <t xml:space="preserve">Fees, Strategic position</t>
  </si>
  <si>
    <t xml:space="preserve">Mastercard Agent Pay for Machines (Jun 2026); Visa live with 30+ issuers (Jul 2026); HSBC/EPAA liability working group; HMT AI Adoption Plan calls for KYA</t>
  </si>
  <si>
    <t xml:space="preserve">Design partners; agent-initiated volume; incidents</t>
  </si>
  <si>
    <t xml:space="preserve">Payments Product + Risk</t>
  </si>
  <si>
    <t xml:space="preserve">C-10</t>
  </si>
  <si>
    <t xml:space="preserve">6./8. Settlement &amp; reporting</t>
  </si>
  <si>
    <t xml:space="preserve">Custody+ intelligence (fail prediction, event explainers, reporting narratives)</t>
  </si>
  <si>
    <t xml:space="preserve">Predicts settlement fails, explains corporate actions, drafts client reporting narratives.</t>
  </si>
  <si>
    <t xml:space="preserve">Predict + Generate</t>
  </si>
  <si>
    <t xml:space="preserve">Instruction, Document, Client</t>
  </si>
  <si>
    <t xml:space="preserve">Citi Custody+ (Aug 2026): voluntary events −92% time; BNY Eliza</t>
  </si>
  <si>
    <t xml:space="preserve">Fail rate; report turnaround</t>
  </si>
  <si>
    <t xml:space="preserve">Investor Services Product</t>
  </si>
  <si>
    <t xml:space="preserve">C-11</t>
  </si>
  <si>
    <t xml:space="preserve">2./8. Docs &amp; reporting</t>
  </si>
  <si>
    <t xml:space="preserve">Document intelligence for indentures &amp; investor Q&amp;A</t>
  </si>
  <si>
    <t xml:space="preserve">Structures agreements, drafts notices and answers investor questions from governed sources.</t>
  </si>
  <si>
    <t xml:space="preserve">Extract + Retrieve + Generate</t>
  </si>
  <si>
    <t xml:space="preserve">Document, Client, Inquiry</t>
  </si>
  <si>
    <t xml:space="preserve">Generic IDP + RAG pattern</t>
  </si>
  <si>
    <t xml:space="preserve">Time per event; inquiries deflected</t>
  </si>
  <si>
    <t xml:space="preserve">P-01</t>
  </si>
  <si>
    <t xml:space="preserve">Pricing</t>
  </si>
  <si>
    <t xml:space="preserve">Fee leakage &amp; billing accuracy engine</t>
  </si>
  <si>
    <t xml:space="preserve">Compares contracted fee schedules (from contracts via IDP) to fees applied; flags waivers, mis-tiers, unbilled services.</t>
  </si>
  <si>
    <t xml:space="preserve">Extract + Detect</t>
  </si>
  <si>
    <t xml:space="preserve">Fee schedule, Transaction, Relationship</t>
  </si>
  <si>
    <t xml:space="preserve">Fees (recovery)</t>
  </si>
  <si>
    <t xml:space="preserve">Standard in transaction banking (industry estimates 1–3% leakage — [verify] internally)</t>
  </si>
  <si>
    <t xml:space="preserve">Leakage recovered ($); billing accuracy %</t>
  </si>
  <si>
    <t xml:space="preserve">Pricing/Billing + Finance</t>
  </si>
  <si>
    <t xml:space="preserve">P-02</t>
  </si>
  <si>
    <t xml:space="preserve">Relationship pricing optimization</t>
  </si>
  <si>
    <t xml:space="preserve">Recommends price bands per relationship using wallet, elasticity, bundle and cost-to-serve; deal-desk copilot with rationale.</t>
  </si>
  <si>
    <t xml:space="preserve">Relationship, Fee schedule, Product, Client</t>
  </si>
  <si>
    <t xml:space="preserve">Fees, NII</t>
  </si>
  <si>
    <t xml:space="preserve">JPM CIB lists pricing optimization as an AI priority (2025)</t>
  </si>
  <si>
    <t xml:space="preserve">Price yield; discount variance; margin per relationship</t>
  </si>
  <si>
    <t xml:space="preserve">Pricing + Coverage</t>
  </si>
  <si>
    <t xml:space="preserve">P-03</t>
  </si>
  <si>
    <t xml:space="preserve">3./10. Liquidity &amp; pricing</t>
  </si>
  <si>
    <t xml:space="preserve">Deposit pricing &amp; beta intelligence</t>
  </si>
  <si>
    <t xml:space="preserve">Classifies operating vs non-operating balances; models deposit sensitivity by segment; recommends rates within policy.</t>
  </si>
  <si>
    <t xml:space="preserve">Classify + Predict + Recommend</t>
  </si>
  <si>
    <t xml:space="preserve">Account, Relationship, Forecast</t>
  </si>
  <si>
    <t xml:space="preserve">NII</t>
  </si>
  <si>
    <t xml:space="preserve">Treasury/ALM practice at most large banks; Services-specific application is white space</t>
  </si>
  <si>
    <t xml:space="preserve">Deposit beta forecast error; balance retention</t>
  </si>
  <si>
    <t xml:space="preserve">LMS + Treasury</t>
  </si>
  <si>
    <t xml:space="preserve">P-04</t>
  </si>
  <si>
    <t xml:space="preserve">1. Sales, RFP</t>
  </si>
  <si>
    <t xml:space="preserve">RFP win/loss &amp; price-to-win analytics</t>
  </si>
  <si>
    <t xml:space="preserve">Learns from RFP outcomes to recommend competitive price points and bundle positioning.</t>
  </si>
  <si>
    <t xml:space="preserve">Predict + Recommend</t>
  </si>
  <si>
    <t xml:space="preserve">Relationship, Fee schedule, Product</t>
  </si>
  <si>
    <t xml:space="preserve">Revenue</t>
  </si>
  <si>
    <t xml:space="preserve">Sales-ops practice; pairs with I-01</t>
  </si>
  <si>
    <t xml:space="preserve">Win rate at target price</t>
  </si>
  <si>
    <t xml:space="preserve">Sales enablement</t>
  </si>
  <si>
    <t xml:space="preserve">P-05</t>
  </si>
  <si>
    <t xml:space="preserve">FX margin &amp; payment fee yield optimization</t>
  </si>
  <si>
    <t xml:space="preserve">Optimizes FX margins and fee tiers within conduct and disclosure rules; detects yield erosion.</t>
  </si>
  <si>
    <t xml:space="preserve">Optimize + Detect</t>
  </si>
  <si>
    <t xml:space="preserve">Transaction, Fee schedule, Jurisdiction</t>
  </si>
  <si>
    <t xml:space="preserve">Fees, FX revenue</t>
  </si>
  <si>
    <t xml:space="preserve">Widespread in FX businesses; conduct scrutiny high</t>
  </si>
  <si>
    <t xml:space="preserve">FX yield; fee yield; complaints</t>
  </si>
  <si>
    <t xml:space="preserve">Payments + Conduct</t>
  </si>
  <si>
    <t xml:space="preserve">P-06</t>
  </si>
  <si>
    <t xml:space="preserve">1. Coverage</t>
  </si>
  <si>
    <t xml:space="preserve">Attrition &amp; wallet-share early warning</t>
  </si>
  <si>
    <t xml:space="preserve">Detects declining flows/balances and predicts attrition; triggers coverage actions.</t>
  </si>
  <si>
    <t xml:space="preserve">Predict + Detect</t>
  </si>
  <si>
    <t xml:space="preserve">Relationship, Account, Instruction</t>
  </si>
  <si>
    <t xml:space="preserve">Retention (revenue)</t>
  </si>
  <si>
    <t xml:space="preserve">Common CRM/retention pattern</t>
  </si>
  <si>
    <t xml:space="preserve">Saves; revenue retained</t>
  </si>
  <si>
    <t xml:space="preserve">Coverage</t>
  </si>
  <si>
    <t xml:space="preserve">D-01</t>
  </si>
  <si>
    <t xml:space="preserve">Product</t>
  </si>
  <si>
    <t xml:space="preserve">11. Product development</t>
  </si>
  <si>
    <t xml:space="preserve">Discovery synthesis from inquiries &amp; interviews</t>
  </si>
  <si>
    <t xml:space="preserve">Clusters 3M+ inquiries, case notes and client interviews into opportunity themes with evidence.</t>
  </si>
  <si>
    <t xml:space="preserve">Classify + Generate</t>
  </si>
  <si>
    <t xml:space="preserve">Inquiry, Case, Client</t>
  </si>
  <si>
    <t xml:space="preserve">Speed, Product quality</t>
  </si>
  <si>
    <t xml:space="preserve">Continuous-discovery practice (Torres); MS/Google research tools</t>
  </si>
  <si>
    <t xml:space="preserve">Themes surfaced; roadmap items with evidence</t>
  </si>
  <si>
    <t xml:space="preserve">Product Ops</t>
  </si>
  <si>
    <t xml:space="preserve">D-02</t>
  </si>
  <si>
    <t xml:space="preserve">AI-assisted specs, API docs, release notes</t>
  </si>
  <si>
    <t xml:space="preserve">Drafts PRDs, API documentation and market-specific release notes from templates and the product catalog.</t>
  </si>
  <si>
    <t xml:space="preserve">Product, Jurisdiction</t>
  </si>
  <si>
    <t xml:space="preserve">Speed</t>
  </si>
  <si>
    <t xml:space="preserve">Universal</t>
  </si>
  <si>
    <t xml:space="preserve">Spec cycle time; doc completeness</t>
  </si>
  <si>
    <t xml:space="preserve">D-03</t>
  </si>
  <si>
    <t xml:space="preserve">11. Localization</t>
  </si>
  <si>
    <t xml:space="preserve">Market localization agent (global design, local rules)</t>
  </si>
  <si>
    <t xml:space="preserve">Generates market variants (formats, cut-offs, disclosures, approvals) from the Jurisdiction entity; opens local approval tasks.</t>
  </si>
  <si>
    <t xml:space="preserve">Retrieve + Generate + Act (bounded)</t>
  </si>
  <si>
    <t xml:space="preserve">Jurisdiction, Product, Control</t>
  </si>
  <si>
    <t xml:space="preserve">Speed, Cost</t>
  </si>
  <si>
    <t xml:space="preserve">Named in the JD (30+ markets); depends on ontology readiness</t>
  </si>
  <si>
    <t xml:space="preserve">Markets per release; localization lead time</t>
  </si>
  <si>
    <t xml:space="preserve">Product + Regional leads</t>
  </si>
  <si>
    <t xml:space="preserve">D-04</t>
  </si>
  <si>
    <t xml:space="preserve">Synthetic data &amp; test harness for payment flows</t>
  </si>
  <si>
    <t xml:space="preserve">Generates realistic ISO 20022 test data and scenarios per market for build/UAT.</t>
  </si>
  <si>
    <t xml:space="preserve">Generate + Simulate</t>
  </si>
  <si>
    <t xml:space="preserve">Instruction, Jurisdiction</t>
  </si>
  <si>
    <t xml:space="preserve">Speed, Quality</t>
  </si>
  <si>
    <t xml:space="preserve">Emerging practice</t>
  </si>
  <si>
    <t xml:space="preserve">UAT cycle time; escaped defects</t>
  </si>
  <si>
    <t xml:space="preserve">D-05</t>
  </si>
  <si>
    <t xml:space="preserve">11. Data products</t>
  </si>
  <si>
    <t xml:space="preserve">Client insight &amp; benchmarking data product</t>
  </si>
  <si>
    <t xml:space="preserve">Anonymized flow, working-capital and liquidity benchmarks sold/bundled to clients.</t>
  </si>
  <si>
    <t xml:space="preserve">Transaction, Client, Forecast</t>
  </si>
  <si>
    <t xml:space="preserve">Fees (new), Retention</t>
  </si>
  <si>
    <t xml:space="preserve">JPM/BofA treasury insights; privacy and competition review required</t>
  </si>
  <si>
    <t xml:space="preserve">Subscribers; revenue</t>
  </si>
  <si>
    <t xml:space="preserve">Product + Data</t>
  </si>
  <si>
    <t xml:space="preserve">E-01</t>
  </si>
  <si>
    <t xml:space="preserve">Efficiency</t>
  </si>
  <si>
    <t xml:space="preserve">2. Onboarding &amp; KYC</t>
  </si>
  <si>
    <t xml:space="preserve">IDP for onboarding/KYC documents — all markets</t>
  </si>
  <si>
    <t xml:space="preserve">Extracts and validates KYC/onboarding documents; routes exceptions; already ~80% reduction in doc review time.</t>
  </si>
  <si>
    <t xml:space="preserve">Extract + Classify</t>
  </si>
  <si>
    <t xml:space="preserve">Document, Client, Jurisdiction</t>
  </si>
  <si>
    <t xml:space="preserve">Cost, Time-to-revenue</t>
  </si>
  <si>
    <t xml:space="preserve">Citi Services (Investor Day 2026): hours → 10–15 min; JPM KYC unit cost −40%</t>
  </si>
  <si>
    <t xml:space="preserve">Doc review time; onboarding cycle time; markets live</t>
  </si>
  <si>
    <t xml:space="preserve">Onboarding Ops</t>
  </si>
  <si>
    <t xml:space="preserve">E-02</t>
  </si>
  <si>
    <t xml:space="preserve">Payments / FI</t>
  </si>
  <si>
    <t xml:space="preserve">Sanctions &amp; screening alert triage (L1) with explanations</t>
  </si>
  <si>
    <t xml:space="preserve">Dispositions low-risk alerts with rationale; escalates the rest; continuous validation.</t>
  </si>
  <si>
    <t xml:space="preserve">Classify + Detect</t>
  </si>
  <si>
    <t xml:space="preserve">Instruction, Counterparty, Control</t>
  </si>
  <si>
    <t xml:space="preserve">JPM screening: 2x volume with half the manual checks</t>
  </si>
  <si>
    <t xml:space="preserve">Alerts per FTE; false-positive rate; audit findings</t>
  </si>
  <si>
    <t xml:space="preserve">Screening Ops + MRM</t>
  </si>
  <si>
    <t xml:space="preserve">E-03</t>
  </si>
  <si>
    <t xml:space="preserve">4. Instruction capture</t>
  </si>
  <si>
    <t xml:space="preserve">Payment repair &amp; STP uplift</t>
  </si>
  <si>
    <t xml:space="preserve">Auto-corrects formatting/ISO 20022 fields, predicts returns, suggests fixes to clients.</t>
  </si>
  <si>
    <t xml:space="preserve">Classify + Repair + Predict</t>
  </si>
  <si>
    <t xml:space="preserve">Instruction, Counterparty, Jurisdiction</t>
  </si>
  <si>
    <t xml:space="preserve">Standard in payments ops modernization</t>
  </si>
  <si>
    <t xml:space="preserve">STP rate; repairs per million; returns</t>
  </si>
  <si>
    <t xml:space="preserve">E-04</t>
  </si>
  <si>
    <t xml:space="preserve">7. Investigations</t>
  </si>
  <si>
    <t xml:space="preserve">Investigations automation (agentic outreach)</t>
  </si>
  <si>
    <t xml:space="preserve">Agent gathers gpi status, drafts and sends bank-to-bank queries within rules, updates case.</t>
  </si>
  <si>
    <t xml:space="preserve">Case, Instruction, Counterparty</t>
  </si>
  <si>
    <t xml:space="preserve">Cost</t>
  </si>
  <si>
    <t xml:space="preserve">JPM exceptions −50%</t>
  </si>
  <si>
    <t xml:space="preserve">Cases auto-resolved; cycle time</t>
  </si>
  <si>
    <t xml:space="preserve">E-05</t>
  </si>
  <si>
    <t xml:space="preserve">Reconciliation &amp; break resolution agents</t>
  </si>
  <si>
    <t xml:space="preserve">Explains and resolves nostro/custody breaks; proposes journal actions for approval.</t>
  </si>
  <si>
    <t xml:space="preserve">Act (bounded) + Recommend</t>
  </si>
  <si>
    <t xml:space="preserve">Transaction, Account, Case</t>
  </si>
  <si>
    <t xml:space="preserve">Goldman + Anthropic trade accounting/reconciliation agents</t>
  </si>
  <si>
    <t xml:space="preserve">Breaks auto-resolved; aged breaks</t>
  </si>
  <si>
    <t xml:space="preserve">Securities Ops</t>
  </si>
  <si>
    <t xml:space="preserve">E-06</t>
  </si>
  <si>
    <t xml:space="preserve">8. Corporate actions</t>
  </si>
  <si>
    <t xml:space="preserve">Corporate actions processing</t>
  </si>
  <si>
    <t xml:space="preserve">Extracts event terms, validates, generates client notifications; voluntary events already −92% time.</t>
  </si>
  <si>
    <t xml:space="preserve">Extract + Generate</t>
  </si>
  <si>
    <t xml:space="preserve">Document, Instruction, Client</t>
  </si>
  <si>
    <t xml:space="preserve">Citi Custody+ (2026)</t>
  </si>
  <si>
    <t xml:space="preserve">Events per FTE; errors</t>
  </si>
  <si>
    <t xml:space="preserve">E-07</t>
  </si>
  <si>
    <t xml:space="preserve">5./2. Document checking</t>
  </si>
  <si>
    <t xml:space="preserve">Trade finance document checking</t>
  </si>
  <si>
    <t xml:space="preserve">Checks LC documents for compliance, dual-use and sanctions flags; human sign-off by tier.</t>
  </si>
  <si>
    <t xml:space="preserve">Document, Instruction, Counterparty, Control</t>
  </si>
  <si>
    <t xml:space="preserve">HSBC/ANZ/Lloyds/Microsoft PoC; Citi AI Risk &amp; Governance – Trade Finance role posted Aug 2026</t>
  </si>
  <si>
    <t xml:space="preserve">Check time; discrepancy accuracy</t>
  </si>
  <si>
    <t xml:space="preserve">Trade Ops</t>
  </si>
  <si>
    <t xml:space="preserve">E-08</t>
  </si>
  <si>
    <t xml:space="preserve">Fraud detection uplift (federated learning)</t>
  </si>
  <si>
    <t xml:space="preserve">Improves fraud models with cross-bank federated signals (Swift/Google Cloud pattern).</t>
  </si>
  <si>
    <t xml:space="preserve">Detect</t>
  </si>
  <si>
    <t xml:space="preserve">Instruction, Counterparty</t>
  </si>
  <si>
    <t xml:space="preserve">Risk (losses)</t>
  </si>
  <si>
    <t xml:space="preserve">Swift + 13 banks: detection effectiveness doubled (Sep 2025)</t>
  </si>
  <si>
    <t xml:space="preserve">Fraud losses; detection rate</t>
  </si>
  <si>
    <t xml:space="preserve">Payments Risk</t>
  </si>
  <si>
    <t xml:space="preserve">E-09</t>
  </si>
  <si>
    <t xml:space="preserve">8. Regulatory reporting</t>
  </si>
  <si>
    <t xml:space="preserve">Regulatory reporting automation</t>
  </si>
  <si>
    <t xml:space="preserve">Uses lineage + generation to produce and reconcile regulatory reports; ties to consent-order remediation.</t>
  </si>
  <si>
    <t xml:space="preserve">Retrieve + Generate + Reconcile</t>
  </si>
  <si>
    <t xml:space="preserve">Control, Transaction, Jurisdiction</t>
  </si>
  <si>
    <t xml:space="preserve">Citi already uses AI to produce regulatory reports (Mason, Dec 2025)</t>
  </si>
  <si>
    <t xml:space="preserve">Report cycle time; findings</t>
  </si>
  <si>
    <t xml:space="preserve">Finance + Controls</t>
  </si>
  <si>
    <t xml:space="preserve">E-10</t>
  </si>
  <si>
    <t xml:space="preserve">CitiService Agent Assist — 6,000 agents / 72 countries</t>
  </si>
  <si>
    <t xml:space="preserve">Real-time answers, summaries and next steps for service agents on 3M+ inquiries; 20–25% effort reduction target.</t>
  </si>
  <si>
    <t xml:space="preserve">Inquiry, Case, Client, Employee</t>
  </si>
  <si>
    <t xml:space="preserve">Citi Services (1,200 agents live per Apr 2026 report; 6,000 target — [verify])</t>
  </si>
  <si>
    <t xml:space="preserve">Handle time; effort per inquiry; CSAT</t>
  </si>
  <si>
    <t xml:space="preserve">Client Service</t>
  </si>
  <si>
    <t xml:space="preserve">E-11</t>
  </si>
  <si>
    <t xml:space="preserve">11. Platform simplification</t>
  </si>
  <si>
    <t xml:space="preserve">Legacy modernization agents</t>
  </si>
  <si>
    <t xml:space="preserve">Agents document, test and migrate legacy Services applications (384 apps retired firmwide in 2025).</t>
  </si>
  <si>
    <t xml:space="preserve">Citi Devin usage on upgrades/rewrites</t>
  </si>
  <si>
    <t xml:space="preserve">Apps retired; run-cost saved</t>
  </si>
  <si>
    <t xml:space="preserve">Mandate codes: I = Internal (workforce), C = Client (products), P = Pricing (commercial), D = Product (how we build), E = Efficiency (operations &amp; risk). Control burden 5 = Tier-4 (client decisioning / sanctions-AML); 1 = Tier-1 assist. Peer precedents dated 2025–2026; see Benchmarks &amp; Peers for sources.</t>
  </si>
  <si>
    <t xml:space="preserve">Portfolio Summary — roll-up of the scored portfolio (all formulas)</t>
  </si>
  <si>
    <t xml:space="preserve">Recalculates from the Use-Case Portfolio. Use it to check mix: the base of the pyramid (productivity/efficiency) should dominate Now; strategic client bets should dominate Next; agentic/platform bets sit in Later.</t>
  </si>
  <si>
    <t xml:space="preserve">A. By mandate</t>
  </si>
  <si>
    <t xml:space="preserve"># use cases</t>
  </si>
  <si>
    <t xml:space="preserve">Avg score</t>
  </si>
  <si>
    <t xml:space="preserve"># Now (0-12m)</t>
  </si>
  <si>
    <t xml:space="preserve"># Next (12-24m)</t>
  </si>
  <si>
    <t xml:space="preserve"># Later (24-36m)</t>
  </si>
  <si>
    <t xml:space="preserve">Total</t>
  </si>
  <si>
    <t xml:space="preserve">B. Mix check vs recommended allocation (share of use cases)</t>
  </si>
  <si>
    <t xml:space="preserve">Actual #</t>
  </si>
  <si>
    <t xml:space="preserve">Actual %</t>
  </si>
  <si>
    <t xml:space="preserve">Recommended %</t>
  </si>
  <si>
    <t xml:space="preserve">Gap (pts)</t>
  </si>
  <si>
    <t xml:space="preserve">Read</t>
  </si>
  <si>
    <t xml:space="preserve">Now (0-12m)</t>
  </si>
  <si>
    <t xml:space="preserve">Productivity and efficiency base — proven patterns, fast value</t>
  </si>
  <si>
    <t xml:space="preserve">Next (12-24m)</t>
  </si>
  <si>
    <t xml:space="preserve">Client products and pricing intelligence — the differentiation layer</t>
  </si>
  <si>
    <t xml:space="preserve">Later (24-36m)</t>
  </si>
  <si>
    <t xml:space="preserve">Agentic rails, data products, structural bets — convex, small position</t>
  </si>
  <si>
    <t xml:space="preserve">Recommended split adapts the AI Implementation Pyramid (≈70/15/10/5 of budget across productivity / workflow automation / strategic advantage / R&amp;D bets) to a use-case count. Budget share will skew more to Now than count share does, because Now items are cheaper per unit.</t>
  </si>
  <si>
    <t xml:space="preserve">C. Top 12 by score (ranked; ties broken by row order)</t>
  </si>
  <si>
    <t xml:space="preserve">Score</t>
  </si>
  <si>
    <t xml:space="preserve">Systems View — the AI program as a system, not a list of projects</t>
  </si>
  <si>
    <t xml:space="preserve">Purpose of the system (Ackoff): convert Services' data exhaust and client relationships into governed, compounding decision capability that lowers cost-to-serve and raises client value within the bank's risk appetite. Read: stocks → loops → leverage points → binding constraint → archetypes to avoid → delays.</t>
  </si>
  <si>
    <t xml:space="preserve">A. Stocks and flows (what accumulates)</t>
  </si>
  <si>
    <t xml:space="preserve">Stock</t>
  </si>
  <si>
    <t xml:space="preserve">Inflows</t>
  </si>
  <si>
    <t xml:space="preserve">Outflows / leaks</t>
  </si>
  <si>
    <t xml:space="preserve">State today (assessed)</t>
  </si>
  <si>
    <t xml:space="preserve">Target signal</t>
  </si>
  <si>
    <t xml:space="preserve">Trusted, ontology-mapped data</t>
  </si>
  <si>
    <t xml:space="preserve">Lineage work, golden-source designation, ISO 20022 adoption</t>
  </si>
  <si>
    <t xml:space="preserve">Schema drift, market-specific exceptions, unowned datasets</t>
  </si>
  <si>
    <t xml:space="preserve">Low-medium: consent-order remediation still open; ontology not yet a product</t>
  </si>
  <si>
    <t xml:space="preserve">Readiness score ≥ 4 on the 8 priority entities</t>
  </si>
  <si>
    <t xml:space="preserve">Reusable AI components</t>
  </si>
  <si>
    <t xml:space="preserve">Component product owners, platform funding, pattern extraction from use cases</t>
  </si>
  <si>
    <t xml:space="preserve">Bespoke builds, vendor lock-in, unmaintained pilots</t>
  </si>
  <si>
    <t xml:space="preserve">Enterprise stack strong; Services-specific components thin</t>
  </si>
  <si>
    <t xml:space="preserve">≥ 6 components with owners and SLAs (IDP, RAG, evals, guardrails, agent runtime, telemetry)</t>
  </si>
  <si>
    <t xml:space="preserve">Validated models/agents in inventory</t>
  </si>
  <si>
    <t xml:space="preserve">Pipeline throughput (validation capacity × pre-approved patterns)</t>
  </si>
  <si>
    <t xml:space="preserve">Retirement, drift failures, regulatory re-scoping</t>
  </si>
  <si>
    <t xml:space="preserve">50+ use-case pipeline; production count undisclosed</t>
  </si>
  <si>
    <t xml:space="preserve">≥ 25 in production with monitoring</t>
  </si>
  <si>
    <t xml:space="preserve">Control coverage</t>
  </si>
  <si>
    <t xml:space="preserve">Tiered control library, eval harness, monitoring</t>
  </si>
  <si>
    <t xml:space="preserve">New capability classes (agents) outpacing controls</t>
  </si>
  <si>
    <t xml:space="preserve">Traditional MRM mature; GenAI/agentic controls forming (SR 26-2 shifts onus to bank)</t>
  </si>
  <si>
    <t xml:space="preserve">100% of Tier-3/4 use cases with evidence pack</t>
  </si>
  <si>
    <t xml:space="preserve">Client trust and co-creation relationships</t>
  </si>
  <si>
    <t xml:space="preserve">Design-partner cohorts, transparent explanations, reliability</t>
  </si>
  <si>
    <t xml:space="preserve">Incidents, opaque recommendations, over-automation</t>
  </si>
  <si>
    <t xml:space="preserve">CitiDirect assistant pilot; Sales Assist; few named client co-creation programs</t>
  </si>
  <si>
    <t xml:space="preserve">10 design partners per business line; NPS on AI features tracked</t>
  </si>
  <si>
    <t xml:space="preserve">Workforce AI fluency</t>
  </si>
  <si>
    <t xml:space="preserve">Training (mandatory prompt training), accelerators, workflow redesign</t>
  </si>
  <si>
    <t xml:space="preserve">Attrition of AI leaders, tool fatigue</t>
  </si>
  <si>
    <t xml:space="preserve">70–90% adoption; AI leadership churn in 2026</t>
  </si>
  <si>
    <t xml:space="preserve">Roles redesigned; fluency in performance criteria</t>
  </si>
  <si>
    <t xml:space="preserve">Value realized (P&amp;L)</t>
  </si>
  <si>
    <t xml:space="preserve">Use cases reaching scale with Finance-verified attribution</t>
  </si>
  <si>
    <t xml:space="preserve">Benefit leakage (hours saved not redeployed), double counting</t>
  </si>
  <si>
    <t xml:space="preserve">Activity metrics dominate; no $ disclosed</t>
  </si>
  <si>
    <t xml:space="preserve">Value ledger reconciled quarterly; AI-attributed revenue and cost published</t>
  </si>
  <si>
    <t xml:space="preserve">B. Feedback loops (R = reinforcing, B = balancing)</t>
  </si>
  <si>
    <t xml:space="preserve">Loop</t>
  </si>
  <si>
    <t xml:space="preserve">Mechanism</t>
  </si>
  <si>
    <t xml:space="preserve">Type</t>
  </si>
  <si>
    <t xml:space="preserve">Where it is today</t>
  </si>
  <si>
    <t xml:space="preserve">How to strengthen (R) / relieve (B)</t>
  </si>
  <si>
    <t xml:space="preserve">Signal it is working</t>
  </si>
  <si>
    <t xml:space="preserve">R1 Data flywheel</t>
  </si>
  <si>
    <t xml:space="preserve">More production use → more labeled outcomes (cases, repairs, forecasts) → better models → more use</t>
  </si>
  <si>
    <t xml:space="preserve">R</t>
  </si>
  <si>
    <t xml:space="preserve">Weak: pilots don't feed a shared corpus; labels not captured systematically</t>
  </si>
  <si>
    <t xml:space="preserve">Instrument every use case to write outcomes back to the entity model (Case, Forecast, Instruction)</t>
  </si>
  <si>
    <t xml:space="preserve">Every Now-wave use case ships with an outcome-capture spec</t>
  </si>
  <si>
    <t xml:space="preserve">R2 Reuse flywheel</t>
  </si>
  <si>
    <t xml:space="preserve">Components → faster delivery → more use cases → more patterns extracted → richer components</t>
  </si>
  <si>
    <t xml:space="preserve">Forming at enterprise level; Services builds still bespoke</t>
  </si>
  <si>
    <t xml:space="preserve">Fund component owners; require 'compose, don't build' at intake</t>
  </si>
  <si>
    <t xml:space="preserve">≥ 60% of new use cases composed from existing components by month 12</t>
  </si>
  <si>
    <t xml:space="preserve">R3 Client co-creation flywheel</t>
  </si>
  <si>
    <t xml:space="preserve">Design partners → adoption → references → RFP wins → more partners and data</t>
  </si>
  <si>
    <t xml:space="preserve">Not yet running for AI products; strong for core products</t>
  </si>
  <si>
    <t xml:space="preserve">Cohorts per business line; publish anonymized outcomes; embed AI features in RFP content (I-01)</t>
  </si>
  <si>
    <t xml:space="preserve">Cohort size; reference-able clients; AI mentions in won RFPs</t>
  </si>
  <si>
    <t xml:space="preserve">R4 Sponsorship flywheel</t>
  </si>
  <si>
    <t xml:space="preserve">Verified value → executive sponsorship → budget and decision rights → more verified value</t>
  </si>
  <si>
    <t xml:space="preserve">Blocked by measurement (activity metrics, no ledger)</t>
  </si>
  <si>
    <t xml:space="preserve">Value ledger with Finance; quarterly value report</t>
  </si>
  <si>
    <t xml:space="preserve">Budget for AI in Services tied to ledger, not to pilot count</t>
  </si>
  <si>
    <t xml:space="preserve">B1 Governance throughput</t>
  </si>
  <si>
    <t xml:space="preserve">More use cases → longer validation/control queue → slower delivery → fewer use cases (or shadow AI)</t>
  </si>
  <si>
    <t xml:space="preserve">B</t>
  </si>
  <si>
    <t xml:space="preserve">Likely active: 50+ pipeline vs finite MRM capacity; SR 26-2 removes GenAI from MRM scope, so Services must design its own gate</t>
  </si>
  <si>
    <t xml:space="preserve">Tiered regime; pre-approved patterns; joint MRM–Services pod; validation SLAs</t>
  </si>
  <si>
    <t xml:space="preserve">Median intake→production ≤ 90 days for Tier 1–2; ≤ 180 for Tier 3</t>
  </si>
  <si>
    <t xml:space="preserve">B2 Run-cost pressure</t>
  </si>
  <si>
    <t xml:space="preserve">Scale → inference/token cost → CFO pushback → throttled scaling (McKinsey 2026: 20% of firms constrained by token costs)</t>
  </si>
  <si>
    <t xml:space="preserve">Emerging as agents scale</t>
  </si>
  <si>
    <t xml:space="preserve">Cost-per-run telemetry; model tiering (small models for routine); unit-cost targets per use case</t>
  </si>
  <si>
    <t xml:space="preserve">Cost per transaction/inquiry trending down as volume rises</t>
  </si>
  <si>
    <t xml:space="preserve">B3 Trust erosion</t>
  </si>
  <si>
    <t xml:space="preserve">One visible incident → tighter controls → slower delivery and lower adoption</t>
  </si>
  <si>
    <t xml:space="preserve">Latent; consequences are severe in a consent-order environment</t>
  </si>
  <si>
    <t xml:space="preserve">Canary releases; kill switches; incident playbooks; over-communicate limits to clients</t>
  </si>
  <si>
    <t xml:space="preserve">Zero client-facing incidents; time-to-contain &lt; 1 hour</t>
  </si>
  <si>
    <t xml:space="preserve">B4 Jurisdictional divergence</t>
  </si>
  <si>
    <t xml:space="preserve">More markets → more local rules and approvals → slower global releases</t>
  </si>
  <si>
    <t xml:space="preserve">Structural (90+ countries; EU AI Act 2027, MAS, HKMA, Colorado 2027)</t>
  </si>
  <si>
    <t xml:space="preserve">Jurisdiction as first-class entity; localization agent (D-03); regional control mapping</t>
  </si>
  <si>
    <t xml:space="preserve">Markets per release rising while lead time falls</t>
  </si>
  <si>
    <t xml:space="preserve">C. Leverage points (Meadows — ordered from most to least powerful)</t>
  </si>
  <si>
    <t xml:space="preserve">Leverage point</t>
  </si>
  <si>
    <t xml:space="preserve">Intervention</t>
  </si>
  <si>
    <t xml:space="preserve">Why it is high-leverage</t>
  </si>
  <si>
    <t xml:space="preserve">Owner</t>
  </si>
  <si>
    <t xml:space="preserve">First artifact</t>
  </si>
  <si>
    <t xml:space="preserve">Paradigm</t>
  </si>
  <si>
    <t xml:space="preserve">From 'AI is a tool we roll out' to 'AI is a product line with a P&amp;L and a pipeline'</t>
  </si>
  <si>
    <t xml:space="preserve">Changes what gets funded, measured and celebrated</t>
  </si>
  <si>
    <t xml:space="preserve">Head of Services + this role</t>
  </si>
  <si>
    <t xml:space="preserve">Investor-Day-style narrative for Services AI with value targets</t>
  </si>
  <si>
    <t xml:space="preserve">Goals</t>
  </si>
  <si>
    <t xml:space="preserve">Replace user/prompt counts with P&amp;L, client adoption and cycle-time goals</t>
  </si>
  <si>
    <t xml:space="preserve">Redirects the whole system toward value realization</t>
  </si>
  <si>
    <t xml:space="preserve">Services CFO + AI product lead</t>
  </si>
  <si>
    <t xml:space="preserve">Value ledger live; goals in scorecards</t>
  </si>
  <si>
    <t xml:space="preserve">Rules</t>
  </si>
  <si>
    <t xml:space="preserve">Tiered control regime with pre-approved patterns; 'compose, don't build'; ontology readiness gate</t>
  </si>
  <si>
    <t xml:space="preserve">Makes the fast lane fast and the slow lane safe</t>
  </si>
  <si>
    <t xml:space="preserve">MRM + ORM + AI product lead</t>
  </si>
  <si>
    <t xml:space="preserve">Control library v1; intake checklist</t>
  </si>
  <si>
    <t xml:space="preserve">Information flows</t>
  </si>
  <si>
    <t xml:space="preserve">Shared ontology, outcome capture, cost-per-run telemetry, quarterly value report</t>
  </si>
  <si>
    <t xml:space="preserve">Lets every loop above see itself</t>
  </si>
  <si>
    <t xml:space="preserve">Platforms &amp; Data Solutions</t>
  </si>
  <si>
    <t xml:space="preserve">Ontology v1; telemetry standard</t>
  </si>
  <si>
    <t xml:space="preserve">Feedback-loop gain</t>
  </si>
  <si>
    <t xml:space="preserve">Client co-creation cadence (monthly), incident learning loop</t>
  </si>
  <si>
    <t xml:space="preserve">Strengthens R3, dampens B3</t>
  </si>
  <si>
    <t xml:space="preserve">Business-line product heads</t>
  </si>
  <si>
    <t xml:space="preserve">Cohorts running; retros published</t>
  </si>
  <si>
    <t xml:space="preserve">Delays</t>
  </si>
  <si>
    <t xml:space="preserve">Validation SLA; data onboarding SLA; regional approval calendar</t>
  </si>
  <si>
    <t xml:space="preserve">Shortening delays is the cheapest throughput gain</t>
  </si>
  <si>
    <t xml:space="preserve">MRM + regional COOs</t>
  </si>
  <si>
    <t xml:space="preserve">Median cycle times tracked and falling</t>
  </si>
  <si>
    <t xml:space="preserve">Buffers</t>
  </si>
  <si>
    <t xml:space="preserve">Platform capacity reserve; evaluation datasets; sandbox environments per market</t>
  </si>
  <si>
    <t xml:space="preserve">Prevents the shared platform becoming the bottleneck</t>
  </si>
  <si>
    <t xml:space="preserve">Capacity plan with headroom</t>
  </si>
  <si>
    <t xml:space="preserve">Structure</t>
  </si>
  <si>
    <t xml:space="preserve">Hub-and-spoke with business-line AI product leads owning P&amp;L</t>
  </si>
  <si>
    <t xml:space="preserve">Aligns accountability with value</t>
  </si>
  <si>
    <t xml:space="preserve">Group Head of AI + Services</t>
  </si>
  <si>
    <t xml:space="preserve">RACI adopted</t>
  </si>
  <si>
    <t xml:space="preserve">D. Binding constraint (Goldratt — five focusing steps)</t>
  </si>
  <si>
    <t xml:space="preserve">Step</t>
  </si>
  <si>
    <t xml:space="preserve">Applied to Services</t>
  </si>
  <si>
    <t xml:space="preserve">1. Identify</t>
  </si>
  <si>
    <t xml:space="preserve">The governed path to production: data readiness + tiered validation/control design + reusable components. Not model capability, not budget, not talent (enterprise already supplies these).</t>
  </si>
  <si>
    <t xml:space="preserve">2. Exploit</t>
  </si>
  <si>
    <t xml:space="preserve">Pre-approved patterns for Tier 1–2 (retrieve/generate/extract) so 60–70% of the pipeline never waits; joint MRM–Services pod for Tier 3–4; ontology readiness gate so nothing enters the constraint unprepared.</t>
  </si>
  <si>
    <t xml:space="preserve">3. Subordinate</t>
  </si>
  <si>
    <t xml:space="preserve">Intake volume matched to constraint capacity; business lines get a quota of Tier-3/4 slots per quarter; roadmap sequenced by readiness, not enthusiasm.</t>
  </si>
  <si>
    <t xml:space="preserve">4. Elevate</t>
  </si>
  <si>
    <t xml:space="preserve">Invest in validation capacity (people + eval harness automation), lineage tooling, and component owners; measure cycle time as a first-class KPI.</t>
  </si>
  <si>
    <t xml:space="preserve">5. Repeat</t>
  </si>
  <si>
    <t xml:space="preserve">When cycle time stops being the constraint, expect the next one to be client procurement/data-sharing (for client products) or run-cost (for agents) — pre-plan both.</t>
  </si>
  <si>
    <t xml:space="preserve">E. System archetypes to avoid (Senge)</t>
  </si>
  <si>
    <t xml:space="preserve">Archetype</t>
  </si>
  <si>
    <t xml:space="preserve">How it would show up here</t>
  </si>
  <si>
    <t xml:space="preserve">Structural countermeasure</t>
  </si>
  <si>
    <t xml:space="preserve">Fixes that fail — 'pilot theater'</t>
  </si>
  <si>
    <t xml:space="preserve">Pilots relieve pressure to show AI progress; production never arrives; pressure returns (MIT: 95% of GenAI pilots show no P&amp;L impact)</t>
  </si>
  <si>
    <t xml:space="preserve">Every pilot has a production owner, a value hypothesis and a kill date</t>
  </si>
  <si>
    <t xml:space="preserve">Shifting the burden — vendor dependency</t>
  </si>
  <si>
    <t xml:space="preserve">Buying vendor agents relieves delivery pressure; internal capability atrophies; switching costs rise</t>
  </si>
  <si>
    <t xml:space="preserve">Abstraction layer; multi-model; component ownership stays internal</t>
  </si>
  <si>
    <t xml:space="preserve">Limits to growth — data quality</t>
  </si>
  <si>
    <t xml:space="preserve">Use-case growth stalls when data readiness is the limit; more model effort doesn't help</t>
  </si>
  <si>
    <t xml:space="preserve">Fund the ontology as a product before scaling use-case count</t>
  </si>
  <si>
    <t xml:space="preserve">Tragedy of the commons — shared platform</t>
  </si>
  <si>
    <t xml:space="preserve">Every business line pulls on enterprise platform capacity; nobody funds headroom</t>
  </si>
  <si>
    <t xml:space="preserve">Capacity reserve and chargeback; buffers (C above)</t>
  </si>
  <si>
    <t xml:space="preserve">Success to the successful — Payments takes all</t>
  </si>
  <si>
    <t xml:space="preserve">The biggest line wins every funding round; LMS/Trade/Securities AI starves although LMS has the NII lever</t>
  </si>
  <si>
    <t xml:space="preserve">Portfolio balance rule by mandate and business line (Portfolio Summary)</t>
  </si>
  <si>
    <t xml:space="preserve">F. Delays to plan for (assumptions — validate internally)</t>
  </si>
  <si>
    <t xml:space="preserve">Delay</t>
  </si>
  <si>
    <t xml:space="preserve">Typical duration</t>
  </si>
  <si>
    <t xml:space="preserve">Mitigation</t>
  </si>
  <si>
    <t xml:space="preserve">Model validation (Tier 3–4)</t>
  </si>
  <si>
    <t xml:space="preserve">8–16 weeks</t>
  </si>
  <si>
    <t xml:space="preserve">Parallelize with build; start evidence pack at intake</t>
  </si>
  <si>
    <t xml:space="preserve">Data onboarding to a governed corpus</t>
  </si>
  <si>
    <t xml:space="preserve">4–12 weeks per source</t>
  </si>
  <si>
    <t xml:space="preserve">Ontology readiness gate; prioritize 8 entities</t>
  </si>
  <si>
    <t xml:space="preserve">Client procurement / data-sharing for co-creation</t>
  </si>
  <si>
    <t xml:space="preserve">3–9 months</t>
  </si>
  <si>
    <t xml:space="preserve">Standard design-partner agreement; start cohort recruitment in month 1</t>
  </si>
  <si>
    <t xml:space="preserve">Regional approvals for a new market</t>
  </si>
  <si>
    <t xml:space="preserve">1–6 months</t>
  </si>
  <si>
    <t xml:space="preserve">Approval calendar; localization agent pre-fills evidence</t>
  </si>
  <si>
    <t xml:space="preserve">Benefit realization after go-live</t>
  </si>
  <si>
    <t xml:space="preserve">1–2 quarters</t>
  </si>
  <si>
    <t xml:space="preserve">Finance attribution rules agreed before launch</t>
  </si>
  <si>
    <t xml:space="preserve">Operating Model &amp; Governance — how this is done at a global bank (domain confirmation)</t>
  </si>
  <si>
    <t xml:space="preserve">What a Director-level AI product lead in Services actually operates: one pipeline, tiered controls, hub-and-spoke with the enterprise AI organization, and a regulatory map for 30+ markets. Durations are typical-practice assumptions; confirm Citi's actual SLAs.</t>
  </si>
  <si>
    <t xml:space="preserve">A. The use-case pipeline (intake → production → monitoring)</t>
  </si>
  <si>
    <t xml:space="preserve">Stage</t>
  </si>
  <si>
    <t xml:space="preserve">Who</t>
  </si>
  <si>
    <t xml:space="preserve">Artifact</t>
  </si>
  <si>
    <t xml:space="preserve">Typical duration (assumption)</t>
  </si>
  <si>
    <t xml:space="preserve">Practice note</t>
  </si>
  <si>
    <t xml:space="preserve">1. Intake</t>
  </si>
  <si>
    <t xml:space="preserve">Business-line AI product lead</t>
  </si>
  <si>
    <t xml:space="preserve">One-page charter: problem, entities, capability, tier hypothesis, value hypothesis, owner</t>
  </si>
  <si>
    <t xml:space="preserve">1–2 weeks</t>
  </si>
  <si>
    <t xml:space="preserve">Charter approved; ontology readiness ≥ 3 on required entities</t>
  </si>
  <si>
    <t xml:space="preserve">Everyone submits through the same door — internal and client use cases alike</t>
  </si>
  <si>
    <t xml:space="preserve">2. Value &amp; risk tiering</t>
  </si>
  <si>
    <t xml:space="preserve">AI product lead + MRM + ORM + Compliance</t>
  </si>
  <si>
    <t xml:space="preserve">Tier (1–4), value estimate, control checklist</t>
  </si>
  <si>
    <t xml:space="preserve">1 week</t>
  </si>
  <si>
    <t xml:space="preserve">Tier agreed; pre-approved pattern identified (or not)</t>
  </si>
  <si>
    <t xml:space="preserve">Tier drives everything downstream; get it right early</t>
  </si>
  <si>
    <t xml:space="preserve">3. Data &amp; ontology readiness</t>
  </si>
  <si>
    <t xml:space="preserve">Golden sources confirmed; entitlements; retention/residency check</t>
  </si>
  <si>
    <t xml:space="preserve">2–8 weeks</t>
  </si>
  <si>
    <t xml:space="preserve">Readiness ≥ 4; lineage documented</t>
  </si>
  <si>
    <t xml:space="preserve">The step most banks skip and then pay for at validation</t>
  </si>
  <si>
    <t xml:space="preserve">4. Build (compose from components)</t>
  </si>
  <si>
    <t xml:space="preserve">Delivery pod (product, engineering, data science, control partner)</t>
  </si>
  <si>
    <t xml:space="preserve">Working solution on shared components; eval set; guardrails</t>
  </si>
  <si>
    <t xml:space="preserve">4–12 weeks</t>
  </si>
  <si>
    <t xml:space="preserve">Evals pass thresholds; cost per run within target</t>
  </si>
  <si>
    <t xml:space="preserve">Pod includes a control partner from day one (JD: 'partner with Legal, Risk, Compliance and Model Risk from day one')</t>
  </si>
  <si>
    <t xml:space="preserve">5. Validation (tier-dependent)</t>
  </si>
  <si>
    <t xml:space="preserve">MRM (traditional models) / AI governance (GenAI, agents)</t>
  </si>
  <si>
    <t xml:space="preserve">Validation report or GenAI assurance pack: performance, robustness, bias, explainability, prompt/response tests, red-team</t>
  </si>
  <si>
    <t xml:space="preserve">Tier 1–2: 2–4 weeks; Tier 3–4: 8–16 weeks</t>
  </si>
  <si>
    <t xml:space="preserve">Sign-off; conditions of use</t>
  </si>
  <si>
    <t xml:space="preserve">SR 26-2 (Apr 2026) excludes GenAI/agentic from MRM scope → the bank's own AI governance must be at least as rigorous</t>
  </si>
  <si>
    <t xml:space="preserve">6. Controls &amp; regional approvals</t>
  </si>
  <si>
    <t xml:space="preserve">ORM, Compliance, Legal, Privacy, InfoSec, regional COOs</t>
  </si>
  <si>
    <t xml:space="preserve">Control design &amp; testing evidence; DPIA where needed; market approvals</t>
  </si>
  <si>
    <t xml:space="preserve">2–12 weeks (parallel)</t>
  </si>
  <si>
    <t xml:space="preserve">Controls tested; approvals for launch markets</t>
  </si>
  <si>
    <t xml:space="preserve">Global design, local controls — jurisdiction entity pre-fills evidence</t>
  </si>
  <si>
    <t xml:space="preserve">7. Limited production (canary)</t>
  </si>
  <si>
    <t xml:space="preserve">Product lead + Ops</t>
  </si>
  <si>
    <t xml:space="preserve">Live with a bounded population; monitoring dashboards; kill switch tested</t>
  </si>
  <si>
    <t xml:space="preserve">4–8 weeks</t>
  </si>
  <si>
    <t xml:space="preserve">KPIs on track; no incidents; user feedback loop running</t>
  </si>
  <si>
    <t xml:space="preserve">Design partners here for client products</t>
  </si>
  <si>
    <t xml:space="preserve">8. Scale &amp; monitor</t>
  </si>
  <si>
    <t xml:space="preserve">Product lead; model monitoring team</t>
  </si>
  <si>
    <t xml:space="preserve">Drift, performance, cost, incident metrics; periodic review; value ledger entry</t>
  </si>
  <si>
    <t xml:space="preserve">Ongoing</t>
  </si>
  <si>
    <t xml:space="preserve">Finance-verified value; annual re-validation for Tier 3–4</t>
  </si>
  <si>
    <t xml:space="preserve">Benefit realization is a step, not an assumption</t>
  </si>
  <si>
    <t xml:space="preserve">B. Structure — hub and spoke (who does what)</t>
  </si>
  <si>
    <t xml:space="preserve">Unit</t>
  </si>
  <si>
    <t xml:space="preserve">Responsibilities</t>
  </si>
  <si>
    <t xml:space="preserve">Role in the system</t>
  </si>
  <si>
    <t xml:space="preserve">Citi-specific note</t>
  </si>
  <si>
    <t xml:space="preserve">Hub: Firmwide AI organization (Group Head of AI; Office of AI Strategy; platforms; standards)</t>
  </si>
  <si>
    <t xml:space="preserve">Model access and contracts (Gemini, Anthropic, Llama…), shared platform (Stylus Workspaces, agent runtime), enterprise standards, responsible-AI policy, training, vendor risk</t>
  </si>
  <si>
    <t xml:space="preserve">Sets the rules of the game; provides the picks and shovels</t>
  </si>
  <si>
    <t xml:space="preserve">Citi reorganized this in May 2026 (Group Head of AI; merged CTO/Head-of-AI responsibilities) — [verify current structure with the hiring manager]</t>
  </si>
  <si>
    <t xml:space="preserve">Spoke: Services AI product office (this role per business line)</t>
  </si>
  <si>
    <t xml:space="preserve">Business-line AI strategy, use-case pipeline, business cases and P&amp;L, client co-creation, GTM, value ledger, adoption</t>
  </si>
  <si>
    <t xml:space="preserve">Owns outcomes for the business line</t>
  </si>
  <si>
    <t xml:space="preserve">The JD in one line: 'AI is the tool and measurable business outcomes are the mission'</t>
  </si>
  <si>
    <t xml:space="preserve">Services Platforms &amp; Data Solutions</t>
  </si>
  <si>
    <t xml:space="preserve">Ontology/data products, lineage, telemetry, Services-specific components</t>
  </si>
  <si>
    <t xml:space="preserve">Owns the foundation the spokes build on</t>
  </si>
  <si>
    <t xml:space="preserve">Existing function (Head of Platforms &amp; Data Solutions, Services) — natural partner</t>
  </si>
  <si>
    <t xml:space="preserve">Risk partners: MRM, ORM, Compliance (incl. sanctions/AML), Legal, Privacy, InfoSec</t>
  </si>
  <si>
    <t xml:space="preserve">Tiering, validation, control design, regulatory interpretation, third-party risk</t>
  </si>
  <si>
    <t xml:space="preserve">Second line; embedded in pods as control partners</t>
  </si>
  <si>
    <t xml:space="preserve">Services already posts AI Risk &amp; Governance roles (e.g., Trade Finance SVP, Aug 2026) — leverage them</t>
  </si>
  <si>
    <t xml:space="preserve">Guilds: AI Champions / Accelerators (4,000 firmwide)</t>
  </si>
  <si>
    <t xml:space="preserve">Workflow redesign in teams, adoption, feedback</t>
  </si>
  <si>
    <t xml:space="preserve">Distribution channel for change</t>
  </si>
  <si>
    <t xml:space="preserve">Use for Internal-mandate use cases; measure redeployed hours</t>
  </si>
  <si>
    <t xml:space="preserve">Regional Services COOs / market heads</t>
  </si>
  <si>
    <t xml:space="preserve">Local rules, approvals, adoption in 90+ countries</t>
  </si>
  <si>
    <t xml:space="preserve">Veto and enabling power per market</t>
  </si>
  <si>
    <t xml:space="preserve">Bring into the approval calendar early; they decide launch order</t>
  </si>
  <si>
    <t xml:space="preserve">Finance (Services CFO)</t>
  </si>
  <si>
    <t xml:space="preserve">Attribution rules, value ledger sign-off, investment gating</t>
  </si>
  <si>
    <t xml:space="preserve">Makes value real</t>
  </si>
  <si>
    <t xml:space="preserve">Without Finance the ledger is a spreadsheet; with Finance it is a P&amp;L</t>
  </si>
  <si>
    <t xml:space="preserve">C. Control tiers (what 'responsible AI' means operationally)</t>
  </si>
  <si>
    <t xml:space="preserve">Tier</t>
  </si>
  <si>
    <t xml:space="preserve">Definition</t>
  </si>
  <si>
    <t xml:space="preserve">Examples</t>
  </si>
  <si>
    <t xml:space="preserve">Minimum controls</t>
  </si>
  <si>
    <t xml:space="preserve">Review path</t>
  </si>
  <si>
    <t xml:space="preserve">Portfolio IDs</t>
  </si>
  <si>
    <t xml:space="preserve">Tier 1 — Assist</t>
  </si>
  <si>
    <t xml:space="preserve">Human reads and decides; internal; no client output</t>
  </si>
  <si>
    <t xml:space="preserve">Policy Q&amp;A, summaries, drafts for internal use</t>
  </si>
  <si>
    <t xml:space="preserve">Logging, entitlement-aware retrieval, citation, acceptable-use, basic evals</t>
  </si>
  <si>
    <t xml:space="preserve">Pre-approved pattern; light review</t>
  </si>
  <si>
    <t xml:space="preserve">I-04, D-01, D-02</t>
  </si>
  <si>
    <t xml:space="preserve">Tier 2 — Recommend (internal)</t>
  </si>
  <si>
    <t xml:space="preserve">AI proposes; human approves before anything leaves the team</t>
  </si>
  <si>
    <t xml:space="preserve">RFP drafts, coverage briefs, repair suggestions</t>
  </si>
  <si>
    <t xml:space="preserve">Tier 1 + eval thresholds, red-team for prompt injection, output filters, human-in-loop evidence</t>
  </si>
  <si>
    <t xml:space="preserve">Pattern-based review; sample audits</t>
  </si>
  <si>
    <t xml:space="preserve">I-01, I-02, I-03, E-03, E-10</t>
  </si>
  <si>
    <t xml:space="preserve">Tier 3 — Recommend/Act bounded (client-affecting or money-adjacent)</t>
  </si>
  <si>
    <t xml:space="preserve">AI acts within allow-lists and limits, or recommends to clients; post-hoc review</t>
  </si>
  <si>
    <t xml:space="preserve">Pricing recommendations, liquidity structures, reconciliation actions, investigations outreach</t>
  </si>
  <si>
    <t xml:space="preserve">Tier 2 + explainability, conduct/fairness review, action allow-lists, spend/volume caps, kill switch, full trace, drift monitoring</t>
  </si>
  <si>
    <t xml:space="preserve">Formal validation/assurance; annual re-review</t>
  </si>
  <si>
    <t xml:space="preserve">P-02, C-02, C-03, E-04, E-05, C-01</t>
  </si>
  <si>
    <t xml:space="preserve">Tier 4 — Client decisioning / financial-crime / autonomous</t>
  </si>
  <si>
    <t xml:space="preserve">Model outcome affects client access, screening or executes payments</t>
  </si>
  <si>
    <t xml:space="preserve">Sanctions/AML triage, fraud decisions, agent-initiated payments</t>
  </si>
  <si>
    <t xml:space="preserve">Tier 3 + independent validation, bias testing, regulator-facing documentation, dual control, staged rollout, board-level reporting</t>
  </si>
  <si>
    <t xml:space="preserve">Full MRM-grade validation; regulatory engagement</t>
  </si>
  <si>
    <t xml:space="preserve">E-02, E-08, C-06, C-09</t>
  </si>
  <si>
    <t xml:space="preserve">D. RACI for one use case (template)</t>
  </si>
  <si>
    <t xml:space="preserve">Activity</t>
  </si>
  <si>
    <t xml:space="preserve">Services AI product lead</t>
  </si>
  <si>
    <t xml:space="preserve">MRM / AI governance</t>
  </si>
  <si>
    <t xml:space="preserve">Platforms &amp; Data / Engineering</t>
  </si>
  <si>
    <t xml:space="preserve">Regional COO / Compliance</t>
  </si>
  <si>
    <t xml:space="preserve">Finance</t>
  </si>
  <si>
    <t xml:space="preserve">Charter &amp; value hypothesis</t>
  </si>
  <si>
    <t xml:space="preserve">A/R</t>
  </si>
  <si>
    <t xml:space="preserve">C</t>
  </si>
  <si>
    <t xml:space="preserve">I</t>
  </si>
  <si>
    <t xml:space="preserve">Tiering</t>
  </si>
  <si>
    <t xml:space="preserve">A</t>
  </si>
  <si>
    <t xml:space="preserve">Data readiness &amp; lineage</t>
  </si>
  <si>
    <t xml:space="preserve">Build &amp; evals</t>
  </si>
  <si>
    <t xml:space="preserve">Validation / assurance</t>
  </si>
  <si>
    <t xml:space="preserve">Controls &amp; regional approvals</t>
  </si>
  <si>
    <t xml:space="preserve">Launch decision</t>
  </si>
  <si>
    <t xml:space="preserve">Value attribution</t>
  </si>
  <si>
    <t xml:space="preserve">Monitoring &amp; incident</t>
  </si>
  <si>
    <t xml:space="preserve">E. Regulatory map for a 30+-market rollout (as of Sep 2026)</t>
  </si>
  <si>
    <t xml:space="preserve">Jurisdiction</t>
  </si>
  <si>
    <t xml:space="preserve">What is in force / coming</t>
  </si>
  <si>
    <t xml:space="preserve">Implication for Services AI</t>
  </si>
  <si>
    <t xml:space="preserve">Action</t>
  </si>
  <si>
    <t xml:space="preserve">United States (Fed/OCC/FDIC)</t>
  </si>
  <si>
    <t xml:space="preserve">Revised interagency Model Risk Management guidance (SR 26-2 / OCC 2026-13, 17 Apr 2026) replaces SR 11-7: principles-based, materiality tiers; generative and agentic AI explicitly out of scope; agencies plan an RFI on AI use. OCC and Fed leadership signal 'innovation-encouraging' posture.</t>
  </si>
  <si>
    <t xml:space="preserve">Traditional predictive models: MRM as before. GenAI/agents: Citi's own AI governance must document rigor — regulators will still examine it under safety-and-soundness. NIST AI RMF + GenAI profile as the reference frame.</t>
  </si>
  <si>
    <t xml:space="preserve">Design the Tier 3–4 assurance pack now; do not wait for an RFI outcome.</t>
  </si>
  <si>
    <t xml:space="preserve">US states</t>
  </si>
  <si>
    <t xml:space="preserve">Colorado ADMT Act (SB 26-189, signed May 2026, effective 1 Jan 2027): financial services in scope; pre-decision notice, adverse-outcome explanation, human review. NYDFS letters on AI cyber risk (Oct 2024) and frontier-model risk (May 2026). Federal push for preemption (EO Dec 2025).</t>
  </si>
  <si>
    <t xml:space="preserve">Client-decisioning use cases (credit-adjacent supplier scoring, screening outcomes) need notice/explanation/human-review paths.</t>
  </si>
  <si>
    <t xml:space="preserve">Explainability and human review are Tier-3/4 defaults anyway.</t>
  </si>
  <si>
    <t xml:space="preserve">European Union</t>
  </si>
  <si>
    <t xml:space="preserve">AI Act: Digital Omnibus (May 2026) defers Annex III high-risk obligations (incl. creditworthiness) to 2 Dec 2027; GPAI (Aug 2025) and Art. 50 transparency (Aug 2026) in force; AI literacy duty since Feb 2025.</t>
  </si>
  <si>
    <t xml:space="preserve">Transparency obligations apply now to client-facing assistants; high-risk classification matters for supplier credit scoring and any employment-related use.</t>
  </si>
  <si>
    <t xml:space="preserve">Map each Tier 3–4 use case to Annex III; keep technical documentation ready for 2027.</t>
  </si>
  <si>
    <t xml:space="preserve">United Kingdom</t>
  </si>
  <si>
    <t xml:space="preserve">Technology-neutral: Consumer Duty, SM&amp;CR, PRA SS1/23 model risk; FCA AI Lab, Supercharged Sandbox, AI Live Testing; HM Treasury FS AI Adoption Plan (Jul 2026) flags agentic payments and 'Know Your Agent'.</t>
  </si>
  <si>
    <t xml:space="preserve">Accountability sits with named senior managers; agentic payments will need agent identity and liability clarity.</t>
  </si>
  <si>
    <t xml:space="preserve">Use FCA AI Live Testing for C-09 if UK is a launch market.</t>
  </si>
  <si>
    <t xml:space="preserve">Singapore (MAS)</t>
  </si>
  <si>
    <t xml:space="preserve">Guidelines on AI Risk Management consulted Nov 2025 (board oversight, AI inventory, materiality, lifecycle controls, third-party accountability; covers GenAI and agents); industry AI Risk Management Toolkit (Mar 2026). Final issuance [verify].</t>
  </si>
  <si>
    <t xml:space="preserve">Expect AI inventory and materiality assessment requirements that mirror the tiering here.</t>
  </si>
  <si>
    <t xml:space="preserve">Singapore is a natural APAC launch market (Citi Services AI roles posted there).</t>
  </si>
  <si>
    <t xml:space="preserve">Hong Kong (HKMA)</t>
  </si>
  <si>
    <t xml:space="preserve">GenAI consumer-protection circular (Aug 2024); GenA.I. Sandbox cohorts and cross-sector Sandbox++ (Mar 2026); Mar 2026 circular requiring board-endorsed digital/AI strategies (incl. agentic) by 9 Sep 2026.</t>
  </si>
  <si>
    <t xml:space="preserve">Board-level strategy documentation for HK entity; sandbox route for client pilots.</t>
  </si>
  <si>
    <t xml:space="preserve">Cross-border payments / agentic</t>
  </si>
  <si>
    <t xml:space="preserve">EPAA–HSBC working group on AI agent payment liability (Jul 2026); Swift AI fraud service and federated-learning pilots; IMF note (Apr 2026) on probabilistic AI vs deterministic payment rails.</t>
  </si>
  <si>
    <t xml:space="preserve">Standards for agent identity/authorization/liability are forming now — participation is cheap, absence is costly.</t>
  </si>
  <si>
    <t xml:space="preserve">Join the standards bodies; pilot C-09 with 5 clients under explicit mandates.</t>
  </si>
  <si>
    <t xml:space="preserve">F. Model and vendor strategy (what the hub gives you, what the spoke decides)</t>
  </si>
  <si>
    <t xml:space="preserve">Decision</t>
  </si>
  <si>
    <t xml:space="preserve">Position</t>
  </si>
  <si>
    <t xml:space="preserve">Decision right</t>
  </si>
  <si>
    <t xml:space="preserve">Multi-model by design</t>
  </si>
  <si>
    <t xml:space="preserve">Citi runs Gemini (primary), Anthropic Claude and Llama; CTO stated preference for closed-source models. Keep an abstraction layer so use cases are model-portable.</t>
  </si>
  <si>
    <t xml:space="preserve">Spoke decides model per use case within the hub's approved list; hub negotiates contracts.</t>
  </si>
  <si>
    <t xml:space="preserve">Build vs buy vs partner</t>
  </si>
  <si>
    <t xml:space="preserve">Buy platforms and components (IDP, agent runtimes); build the ontology, evals, and domain workflows; partner with networks (Swift, Mastercard, Visa) on agentic rails and fraud signals. MIT NANDA: vendor partnerships ~2x success of internal builds for generic capability — but domain workflows are the moat.</t>
  </si>
  <si>
    <t xml:space="preserve">Spoke owns the 'what'; hub owns the 'with what'.</t>
  </si>
  <si>
    <t xml:space="preserve">Cost governance</t>
  </si>
  <si>
    <t xml:space="preserve">Cost-per-run telemetry from day one; small models for routine classification; caching; unit-cost targets per use case.</t>
  </si>
  <si>
    <t xml:space="preserve">Spoke owns unit-cost targets; hub owns rate cards.</t>
  </si>
  <si>
    <t xml:space="preserve">Third-party and concentration risk</t>
  </si>
  <si>
    <t xml:space="preserve">Google Cloud is a strategic dependency (risk models, HPC, apps); document exit options; NYDFS third-party expectations.</t>
  </si>
  <si>
    <t xml:space="preserve">Hub; spoke documents dependency per use case.</t>
  </si>
  <si>
    <t xml:space="preserve">Pricing &amp; Commercial — AI for pricing, and pricing of AI</t>
  </si>
  <si>
    <t xml:space="preserve">Two different questions. (1) How AI improves Services' own pricing and yield. (2) How AI-enabled client features are monetized. The economics of transaction banking decide both: FY2025 NII $12.2B vs fee revenue $3.1B — roughly 80% of revenue is balance-driven, so the biggest commercial lever of client AI is operating balances and share of wallet, not feature fees.</t>
  </si>
  <si>
    <t xml:space="preserve">A. Where Services makes money, and how AI touches each lever</t>
  </si>
  <si>
    <t xml:space="preserve">Revenue / cost lever</t>
  </si>
  <si>
    <t xml:space="preserve">AI use cases that move it</t>
  </si>
  <si>
    <t xml:space="preserve">Order of magnitude (illustrative)</t>
  </si>
  <si>
    <t xml:space="preserve">Commercial priority</t>
  </si>
  <si>
    <t xml:space="preserve">Operating deposits / NII (~$12.2B FY25; &gt;$1T average deposits)</t>
  </si>
  <si>
    <t xml:space="preserve">Balances follow operational flows and structure quality; deposit beta sets margin</t>
  </si>
  <si>
    <t xml:space="preserve">Forecasting and liquidity optimization that keep more operating cash with Citi (C-01, C-02); deposit pricing intelligence (P-03)</t>
  </si>
  <si>
    <t xml:space="preserve">25 bps of incremental average deposits ≈ $2.5B balances ≈ $30M NII at a 1.2% spread (illustrative — see Business Case)</t>
  </si>
  <si>
    <t xml:space="preserve">Highest</t>
  </si>
  <si>
    <t xml:space="preserve">Payment and clearing fees, FX margin</t>
  </si>
  <si>
    <t xml:space="preserve">Volume × yield; yield erodes with competition and mis-pricing</t>
  </si>
  <si>
    <t xml:space="preserve">Leakage engine (P-01), FX/fee yield optimization (P-05), routing that captures FX (C-03)</t>
  </si>
  <si>
    <t xml:space="preserve">1% leakage recovery on $3.1B fees ≈ $31M (illustrative)</t>
  </si>
  <si>
    <t xml:space="preserve">Trade and working-capital financing</t>
  </si>
  <si>
    <t xml:space="preserve">Financing margin × utilization; onboarding speed drives utilization</t>
  </si>
  <si>
    <t xml:space="preserve">Supplier onboarding and risk scoring (C-08), receivables (C-04), trade docs (C-07/E-07)</t>
  </si>
  <si>
    <t xml:space="preserve">Time-to-first-draw and utilization</t>
  </si>
  <si>
    <t xml:space="preserve">Securities services fees</t>
  </si>
  <si>
    <t xml:space="preserve">AUC/A-based and activity fees; cost-to-serve</t>
  </si>
  <si>
    <t xml:space="preserve">Custody+ intelligence (C-10), reconciliations (E-05), corporate actions (E-06)</t>
  </si>
  <si>
    <t xml:space="preserve">Cost per transaction (Citi cites −25%)</t>
  </si>
  <si>
    <t xml:space="preserve">Cost-to-serve</t>
  </si>
  <si>
    <t xml:space="preserve">Servicing, onboarding, exceptions, screening labor</t>
  </si>
  <si>
    <t xml:space="preserve">Agent Assist (E-10), IDP (E-01), repair (E-03), triage (E-02)</t>
  </si>
  <si>
    <t xml:space="preserve">20–25% servicing effort reduction cited by Citi</t>
  </si>
  <si>
    <t xml:space="preserve">Retention and share of wallet</t>
  </si>
  <si>
    <t xml:space="preserve">~75% of Services revenue is from clients also using Markets/Banking; attrition is expensive</t>
  </si>
  <si>
    <t xml:space="preserve">Attrition early warning (P-06), coverage briefing (I-02), AI features embedded in RFPs (I-01)</t>
  </si>
  <si>
    <t xml:space="preserve">Revenue retained; win rate</t>
  </si>
  <si>
    <t xml:space="preserve">B. AI for pricing — use cases and guardrails</t>
  </si>
  <si>
    <t xml:space="preserve">Entities</t>
  </si>
  <si>
    <t xml:space="preserve">Guardrails</t>
  </si>
  <si>
    <t xml:space="preserve">KPI</t>
  </si>
  <si>
    <t xml:space="preserve">P-01 Fee leakage &amp; billing accuracy</t>
  </si>
  <si>
    <t xml:space="preserve">Contract terms (IDP on pricing agreements) vs fees applied per transaction; waivers and mis-tiers flagged</t>
  </si>
  <si>
    <t xml:space="preserve">Now</t>
  </si>
  <si>
    <t xml:space="preserve">Recovery must respect contractual commitments; client communication scripted</t>
  </si>
  <si>
    <t xml:space="preserve">Leakage recovered; billing accuracy</t>
  </si>
  <si>
    <t xml:space="preserve">P-02 Relationship pricing optimization</t>
  </si>
  <si>
    <t xml:space="preserve">Price bands by wallet, elasticity, bundle, cost-to-serve; explanation for deal desk</t>
  </si>
  <si>
    <t xml:space="preserve">Next</t>
  </si>
  <si>
    <t xml:space="preserve">Antitrust/conduct review; no coordination signals; documented human override; fairness across similar clients</t>
  </si>
  <si>
    <t xml:space="preserve">Price yield; discount variance</t>
  </si>
  <si>
    <t xml:space="preserve">P-03 Deposit pricing &amp; beta intelligence</t>
  </si>
  <si>
    <t xml:space="preserve">Operating vs non-operating classification; segment-level rate sensitivity; policy-bounded recommendations</t>
  </si>
  <si>
    <t xml:space="preserve">Treasury/ALM policy limits; model validation (traditional MRM in scope)</t>
  </si>
  <si>
    <t xml:space="preserve">Beta forecast error; balance retention</t>
  </si>
  <si>
    <t xml:space="preserve">P-04 RFP price-to-win</t>
  </si>
  <si>
    <t xml:space="preserve">Learns from win/loss to recommend price points</t>
  </si>
  <si>
    <t xml:space="preserve">Relationship, Fee schedule</t>
  </si>
  <si>
    <t xml:space="preserve">Avoid race-to-bottom; margin floors</t>
  </si>
  <si>
    <t xml:space="preserve">P-05 FX margin &amp; fee yield</t>
  </si>
  <si>
    <t xml:space="preserve">Yield optimization within disclosure rules; erosion detection</t>
  </si>
  <si>
    <t xml:space="preserve">Conduct rules on FX margins; disclosure; complaints monitoring</t>
  </si>
  <si>
    <t xml:space="preserve">FX and fee yield</t>
  </si>
  <si>
    <t xml:space="preserve">P-06 Attrition early warning</t>
  </si>
  <si>
    <t xml:space="preserve">Declining flows/balances → propensity → coverage action</t>
  </si>
  <si>
    <t xml:space="preserve">None beyond data use policy</t>
  </si>
  <si>
    <t xml:space="preserve">C. Pricing of AI — monetization models for client-facing features</t>
  </si>
  <si>
    <t xml:space="preserve">Model</t>
  </si>
  <si>
    <t xml:space="preserve">How it works</t>
  </si>
  <si>
    <t xml:space="preserve">Peer example</t>
  </si>
  <si>
    <t xml:space="preserve">Risk</t>
  </si>
  <si>
    <t xml:space="preserve">Recommendation for Services</t>
  </si>
  <si>
    <t xml:space="preserve">Bundled / defensive</t>
  </si>
  <si>
    <t xml:space="preserve">Feature included in the core relationship to defend share, NPS and RFP position</t>
  </si>
  <si>
    <t xml:space="preserve">BofA CashPro Forecasting (3,000+ clients, no separate fee reported); JPM cash-flow forecasting in Payments</t>
  </si>
  <si>
    <t xml:space="preserve">Undervalues the feature; hard to un-bundle later</t>
  </si>
  <si>
    <t xml:space="preserve">Default for assistants, basic forecasting, anomaly alerts, document pre-checks — trust features are never sold</t>
  </si>
  <si>
    <t xml:space="preserve">Tiered premium</t>
  </si>
  <si>
    <t xml:space="preserve">Advanced analytics/optimization in a paid tier (e.g., multi-entity liquidity optimization, scenario simulation)</t>
  </si>
  <si>
    <t xml:space="preserve">Treasury-tech (Kyriba, HighRadius) charge for forecasting/optimization modules</t>
  </si>
  <si>
    <t xml:space="preserve">Clients compare to TMS vendors; requires clear incremental value</t>
  </si>
  <si>
    <t xml:space="preserve">Use for C-02 liquidity optimization and D-05 data products; test in Commercial segment first</t>
  </si>
  <si>
    <t xml:space="preserve">Usage-based</t>
  </si>
  <si>
    <t xml:space="preserve">Per API call, per agent action, per document processed</t>
  </si>
  <si>
    <t xml:space="preserve">Stripe/Adyen per-transaction; cloud-style metering</t>
  </si>
  <si>
    <t xml:space="preserve">Discourages adoption early; billing complexity</t>
  </si>
  <si>
    <t xml:space="preserve">Use for C-09 agent rails and high-volume IDP (C-07) once adoption is proven</t>
  </si>
  <si>
    <t xml:space="preserve">Outcome / value-share</t>
  </si>
  <si>
    <t xml:space="preserve">Fee tied to measurable outcome (DSO days, working capital unlocked, leakage recovered for the client)</t>
  </si>
  <si>
    <t xml:space="preserve">Working-capital fintechs (Taulia, HighRadius) sell on outcomes</t>
  </si>
  <si>
    <t xml:space="preserve">Attribution disputes; needs baselines</t>
  </si>
  <si>
    <t xml:space="preserve">Use for C-04 receivables and SCF programs where outcome is auditable</t>
  </si>
  <si>
    <t xml:space="preserve">Balance-linked</t>
  </si>
  <si>
    <t xml:space="preserve">Premium features free above operating-balance thresholds</t>
  </si>
  <si>
    <t xml:space="preserve">Common in transaction-banking relationship pricing</t>
  </si>
  <si>
    <t xml:space="preserve">Must be transparent and consistent</t>
  </si>
  <si>
    <t xml:space="preserve">Best fit for Services economics: monetize via balances; formalize it</t>
  </si>
  <si>
    <t xml:space="preserve">Data / insight products</t>
  </si>
  <si>
    <t xml:space="preserve">Subscriptions for anonymized benchmarks and flow analytics</t>
  </si>
  <si>
    <t xml:space="preserve">JPM/BofA treasury insights</t>
  </si>
  <si>
    <t xml:space="preserve">Privacy, competition-law review, client trust</t>
  </si>
  <si>
    <t xml:space="preserve">Later horizon (D-05); pilot with design partners</t>
  </si>
  <si>
    <t xml:space="preserve">D. Commercial playbook (co-creation → pricing tests → GTM waves)</t>
  </si>
  <si>
    <t xml:space="preserve">What</t>
  </si>
  <si>
    <t xml:space="preserve">When</t>
  </si>
  <si>
    <t xml:space="preserve">1. Design-partner cohort</t>
  </si>
  <si>
    <t xml:space="preserve">10 clients per business line across segments and regions under a standard agreement (data use, feedback cadence, early access, no exclusivity)</t>
  </si>
  <si>
    <t xml:space="preserve">Month 1–3</t>
  </si>
  <si>
    <t xml:space="preserve">Cohort signed; monthly cadence running</t>
  </si>
  <si>
    <t xml:space="preserve">2. Pricing experiments</t>
  </si>
  <si>
    <t xml:space="preserve">Test bundled vs tiered vs balance-linked in the Commercial segment (fastest-growing, least contractual friction)</t>
  </si>
  <si>
    <t xml:space="preserve">Month 4–9</t>
  </si>
  <si>
    <t xml:space="preserve">Willingness-to-pay curves; chosen model per feature</t>
  </si>
  <si>
    <t xml:space="preserve">3. RFP embedding</t>
  </si>
  <si>
    <t xml:space="preserve">AI features written into standard RFP content (I-01); references from cohort</t>
  </si>
  <si>
    <t xml:space="preserve">Month 3 onward</t>
  </si>
  <si>
    <t xml:space="preserve">AI features cited in won RFPs</t>
  </si>
  <si>
    <t xml:space="preserve">4. GTM in waves</t>
  </si>
  <si>
    <t xml:space="preserve">Wave 1: 5 markets, Commercial + large corporates; Wave 2: 15 markets incl. FI; Wave 3: 30+ markets</t>
  </si>
  <si>
    <t xml:space="preserve">Months 9–24</t>
  </si>
  <si>
    <t xml:space="preserve">Markets live; active clients; NPS</t>
  </si>
  <si>
    <t xml:space="preserve">5. Sales enablement</t>
  </si>
  <si>
    <t xml:space="preserve">Coverage briefing (I-02) and playbooks; incentives aligned to AI-feature adoption and balances, not feature revenue</t>
  </si>
  <si>
    <t xml:space="preserve">Month 6 onward</t>
  </si>
  <si>
    <t xml:space="preserve">Adoption per coverage team</t>
  </si>
  <si>
    <t xml:space="preserve">Business Case — illustrative value model (edit blue cells)</t>
  </si>
  <si>
    <t xml:space="preserve">All inputs are public figures or labeled assumptions; the point is the structure — replace with Services baselines before showing it. Low/Base/High are multipliers on the Base lever value. Values in $ millions unless noted.</t>
  </si>
  <si>
    <t xml:space="preserve">A. Baseline inputs (public, FY2025 / Q2 2026)</t>
  </si>
  <si>
    <t xml:space="preserve">Input</t>
  </si>
  <si>
    <t xml:space="preserve">Source / note</t>
  </si>
  <si>
    <t xml:space="preserve">Services revenue</t>
  </si>
  <si>
    <t xml:space="preserve">$M</t>
  </si>
  <si>
    <t xml:space="preserve">Citi FY2025 results (press release, Jan 2026): $21.3B (+8%)</t>
  </si>
  <si>
    <t xml:space="preserve">Services net interest income</t>
  </si>
  <si>
    <t xml:space="preserve">FY2025: $12.2B (+12%)</t>
  </si>
  <si>
    <t xml:space="preserve">Services non-interest (fee) revenue</t>
  </si>
  <si>
    <t xml:space="preserve">FY2025: $3.1B reported</t>
  </si>
  <si>
    <t xml:space="preserve">Services operating expenses</t>
  </si>
  <si>
    <t xml:space="preserve">FY2025: $10.8B (+2%)</t>
  </si>
  <si>
    <t xml:space="preserve">Average deposits</t>
  </si>
  <si>
    <t xml:space="preserve">Q2 2026: $1.017T (+19%)</t>
  </si>
  <si>
    <t xml:space="preserve">Client service agents in scope</t>
  </si>
  <si>
    <t xml:space="preserve">agents</t>
  </si>
  <si>
    <t xml:space="preserve">Investor Day 2026 target; 1,200 live per Apr 2026 report [verify]</t>
  </si>
  <si>
    <t xml:space="preserve">Fully loaded cost per agent</t>
  </si>
  <si>
    <t xml:space="preserve">$M/yr</t>
  </si>
  <si>
    <t xml:space="preserve">Assumption — replace with internal figure</t>
  </si>
  <si>
    <t xml:space="preserve">Inquiries handled per year</t>
  </si>
  <si>
    <t xml:space="preserve">inquiries</t>
  </si>
  <si>
    <t xml:space="preserve">Investor Day 2026: 3M+</t>
  </si>
  <si>
    <t xml:space="preserve">Services platform/technology spend</t>
  </si>
  <si>
    <t xml:space="preserve">Khaliq, UBS conference Feb 2026: 'north of $2B annually'</t>
  </si>
  <si>
    <t xml:space="preserve">Share of platform spend that is labor</t>
  </si>
  <si>
    <t xml:space="preserve">%</t>
  </si>
  <si>
    <t xml:space="preserve">Assumption</t>
  </si>
  <si>
    <t xml:space="preserve">New client onboardings per year</t>
  </si>
  <si>
    <t xml:space="preserve">clients</t>
  </si>
  <si>
    <t xml:space="preserve">Assumption — replace with implementations data</t>
  </si>
  <si>
    <t xml:space="preserve">First-year revenue per onboarded client</t>
  </si>
  <si>
    <t xml:space="preserve">Exceptions/investigations/screening ops cost base</t>
  </si>
  <si>
    <t xml:space="preserve">Assumption — replace with Ops cost allocation</t>
  </si>
  <si>
    <t xml:space="preserve">B. Value levers — assumptions (blue) and annual run-rate value (formulas)</t>
  </si>
  <si>
    <t xml:space="preserve">Lever</t>
  </si>
  <si>
    <t xml:space="preserve">Base value ($M/yr)</t>
  </si>
  <si>
    <t xml:space="preserve">Mechanism / source</t>
  </si>
  <si>
    <t xml:space="preserve">1. Servicing effort reduction (E-10, C-05, I-03)</t>
  </si>
  <si>
    <t xml:space="preserve">% of agent effort</t>
  </si>
  <si>
    <t xml:space="preserve">Citi cites 20–25% servicing effort reduction on 3M+ inquiries (Investor Day 2026). Value = agents × cost × reduction. Assumes redeployment/attrition capture.</t>
  </si>
  <si>
    <t xml:space="preserve">2. Developer productivity on Services platforms (I-06, E-11)</t>
  </si>
  <si>
    <t xml:space="preserve">% of labor spend</t>
  </si>
  <si>
    <t xml:space="preserve">GitHub Copilot 5–15% (Citi), Devin 2–20x on specific tasks, Services cites 30–40% — 15% base is conservative. Value = platform spend × labor share × uplift (capacity, not cash, unless spend is reduced).</t>
  </si>
  <si>
    <t xml:space="preserve">3. Onboarding cycle-time reduction (E-01, I-05)</t>
  </si>
  <si>
    <t xml:space="preserve">days faster</t>
  </si>
  <si>
    <t xml:space="preserve">IDP cut doc review ~80% (hours → 10–15 min). Value = clients × first-year revenue × (days saved / 365) as revenue pull-forward; one-time uplift that recurs with volume.</t>
  </si>
  <si>
    <t xml:space="preserve">4. Fee leakage recovery (P-01)</t>
  </si>
  <si>
    <t xml:space="preserve">% of fee revenue</t>
  </si>
  <si>
    <t xml:space="preserve">Industry estimates of 1–3% leakage in transaction banking [verify]; 50% capture assumed (×0.5 hardcoded — edit in formula if needed).</t>
  </si>
  <si>
    <t xml:space="preserve">5. Incremental operating deposits (C-01, C-02, P-03)</t>
  </si>
  <si>
    <t xml:space="preserve">% of avg deposits</t>
  </si>
  <si>
    <t xml:space="preserve">25 bps of average deposits retained/attracted via forecasting and liquidity optimization; NII at the spread below.</t>
  </si>
  <si>
    <t xml:space="preserve">   Deposit spread assumption</t>
  </si>
  <si>
    <t xml:space="preserve">% NII spread</t>
  </si>
  <si>
    <t xml:space="preserve">Assumption — Services NII/deposits ≈ 1.2% (12.2/1,017); replace with treasury transfer-pricing view.</t>
  </si>
  <si>
    <t xml:space="preserve">6. Exceptions, investigations and screening efficiency (E-02, E-03, E-04, E-05)</t>
  </si>
  <si>
    <t xml:space="preserve">% of ops cost base</t>
  </si>
  <si>
    <t xml:space="preserve">JPM: manual exceptions −50%, screening 2x volume with half the checks. 25% of an assumed $400M cost base.</t>
  </si>
  <si>
    <t xml:space="preserve">7. Attrition avoided (P-06, I-02)</t>
  </si>
  <si>
    <t xml:space="preserve">% of revenue</t>
  </si>
  <si>
    <t xml:space="preserve">0.2% of revenue retained through early-warning and coverage actions. Assumption.</t>
  </si>
  <si>
    <t xml:space="preserve">Total annual run-rate value (Base)</t>
  </si>
  <si>
    <t xml:space="preserve">…as % of Services operating expenses</t>
  </si>
  <si>
    <t xml:space="preserve">…as % of Services revenue</t>
  </si>
  <si>
    <t xml:space="preserve">C. Sensitivity (multipliers on Base) and investment / payback</t>
  </si>
  <si>
    <t xml:space="preserve">Scenario</t>
  </si>
  <si>
    <t xml:space="preserve">Multiplier</t>
  </si>
  <si>
    <t xml:space="preserve">Annual value ($M)</t>
  </si>
  <si>
    <t xml:space="preserve">Incremental investment ($M/yr)</t>
  </si>
  <si>
    <t xml:space="preserve">Net ($M/yr)</t>
  </si>
  <si>
    <t xml:space="preserve">Pilots stall; only servicing and dev productivity land</t>
  </si>
  <si>
    <t xml:space="preserve">Base</t>
  </si>
  <si>
    <t xml:space="preserve">Now-wave delivered; two client products GA</t>
  </si>
  <si>
    <t xml:space="preserve">Pricing and deposit levers land; agentic rails add fees</t>
  </si>
  <si>
    <t xml:space="preserve">Investment of $150M/yr is an assumption: a Services-level AI product office, component funding and validation capacity on top of the enterprise platform (which Services already funds within its &gt;$2B platform spend). Value figures are run-rate at scale (typically year 2–3), not year-1 cash. JPM's benchmark: ~$2B benefit on ~$2B AI spend firmwide (Dimon, Oct 2025). Treat this as the structure of the argument, not the number.</t>
  </si>
  <si>
    <t xml:space="preserve">Roadmap — nine workstreams × five periods</t>
  </si>
  <si>
    <t xml:space="preserve">Sequenced by the binding constraint: foundation and pipeline first, then the Now-wave use cases, then client products and pricing intelligence, then agentic and data-product bets. Each cell is a milestone; exit criteria are in the last row of each workstream.</t>
  </si>
  <si>
    <t xml:space="preserve">Workstream</t>
  </si>
  <si>
    <t xml:space="preserve">Days 0–90</t>
  </si>
  <si>
    <t xml:space="preserve">Days 90–180</t>
  </si>
  <si>
    <t xml:space="preserve">Months 6–12</t>
  </si>
  <si>
    <t xml:space="preserve">Months 12–24</t>
  </si>
  <si>
    <t xml:space="preserve">Months 24–36</t>
  </si>
  <si>
    <t xml:space="preserve">1. Strategy &amp; value governance</t>
  </si>
  <si>
    <t xml:space="preserve">Services AI product office chartered; decision rights and RACI agreed; value-ledger design with Finance; portfolio scored with business lines (this workbook as the workshop)</t>
  </si>
  <si>
    <t xml:space="preserve">First quarterly value report; portfolio re-scored; investment case approved</t>
  </si>
  <si>
    <t xml:space="preserve">Value ledger reconciled by Finance; AI goals in Services scorecards</t>
  </si>
  <si>
    <t xml:space="preserve">AI-attributed value reported in Services results; targets set through 2028</t>
  </si>
  <si>
    <t xml:space="preserve">Services AI narrative external (Investor Day / Evident disclosure)</t>
  </si>
  <si>
    <t xml:space="preserve">2. Ontology &amp; data foundation</t>
  </si>
  <si>
    <t xml:space="preserve">Ontology v0: 8 priority entities, golden sources, readiness scores; merge with lineage program</t>
  </si>
  <si>
    <t xml:space="preserve">Ontology v1 in the data catalog; readiness gate live at intake; outcome-capture standard</t>
  </si>
  <si>
    <t xml:space="preserve">Jurisdiction entity encoded for 10 launch markets; Fee schedule digitized for top-500 relationships</t>
  </si>
  <si>
    <t xml:space="preserve">Ontology covers all 16 entities; 30 markets encoded; Forecast entity shared by C-01/C-02/P-03</t>
  </si>
  <si>
    <t xml:space="preserve">Real-time, entitlement-aware access; ontology as a product with SLAs</t>
  </si>
  <si>
    <t xml:space="preserve">3. Delivery pipeline &amp; controls</t>
  </si>
  <si>
    <t xml:space="preserve">Tiering model and control library v1 agreed with MRM/ORM/Compliance; pre-approved Tier 1–2 patterns; validation SLAs proposed</t>
  </si>
  <si>
    <t xml:space="preserve">Joint MRM–Services pod running; eval harness shared; first Tier-3 assurance pack completed</t>
  </si>
  <si>
    <t xml:space="preserve">Median intake→production ≤ 90 days (Tier 1–2), ≤ 180 (Tier 3); regional approval calendar</t>
  </si>
  <si>
    <t xml:space="preserve">Tier-4 use cases (E-02, C-06) validated; agent controls (allow-lists, kill switch) standard</t>
  </si>
  <si>
    <t xml:space="preserve">Automated evidence generation; regulator engagement on agentic (EU AI Act 2027, MAS, HKMA)</t>
  </si>
  <si>
    <t xml:space="preserve">4. Platform &amp; reusable components</t>
  </si>
  <si>
    <t xml:space="preserve">Inventory enterprise components (IDP, RAG, evals, Stylus Workspaces, agent runtime); name Services component owners</t>
  </si>
  <si>
    <t xml:space="preserve">Cost-per-run telemetry live; IDP and RAG components with SLAs; model abstraction layer</t>
  </si>
  <si>
    <t xml:space="preserve">≥ 6 components with owners; 60% of new use cases composed, not built</t>
  </si>
  <si>
    <t xml:space="preserve">Agent runtime hardened for Tier 3–4; small-model tiering for cost</t>
  </si>
  <si>
    <t xml:space="preserve">Composable platform; run-cost per transaction falling with volume</t>
  </si>
  <si>
    <t xml:space="preserve">5. Use cases — waves</t>
  </si>
  <si>
    <t xml:space="preserve">Now wave in flight: E-01 (all markets), E-10, I-01, I-03, C-05, P-01, E-03, C-01 discovery</t>
  </si>
  <si>
    <t xml:space="preserve">First Now-wave use cases at scale with value attribution; E-04/E-05/E-06 started</t>
  </si>
  <si>
    <t xml:space="preserve">≥ 5 use cases with Finance-verified value; C-01 canary with design partners; P-06, P-04 live</t>
  </si>
  <si>
    <t xml:space="preserve">Next wave in production: C-02, C-03, C-04, C-07, C-08, C-10, P-02, P-03, D-03, E-02, E-06; C-01 at scale</t>
  </si>
  <si>
    <t xml:space="preserve">Later wave: C-09 agentic rails, D-05 data products, E-09 reg reporting, I-07 reg-change intelligence, C-11, D-04</t>
  </si>
  <si>
    <t xml:space="preserve">6. Client co-creation</t>
  </si>
  <si>
    <t xml:space="preserve">Design-partner agreement template; recruit first 10 clients (Payments/LMS) across regions</t>
  </si>
  <si>
    <t xml:space="preserve">Monthly cadence; CitiDirect assistant feedback loop; discovery synthesis (D-01) running</t>
  </si>
  <si>
    <t xml:space="preserve">Cohorts for Trade and Investor Services; reference-able outcomes published (anonymized)</t>
  </si>
  <si>
    <t xml:space="preserve">AI features in standard RFP content; NPS on AI features tracked; 30+ design partners</t>
  </si>
  <si>
    <t xml:space="preserve">Clients building on Citi agent rails; client advisory board on AI</t>
  </si>
  <si>
    <t xml:space="preserve">7. Pricing &amp; commercialization</t>
  </si>
  <si>
    <t xml:space="preserve">Fee leakage discovery (P-01) on top-500 relationships; pricing model options paper</t>
  </si>
  <si>
    <t xml:space="preserve">Leakage recovery running; pricing experiments designed for Commercial segment</t>
  </si>
  <si>
    <t xml:space="preserve">Bundled vs tiered vs balance-linked decisions per feature; Wave-1 GTM (5 markets)</t>
  </si>
  <si>
    <t xml:space="preserve">Pricing recommendations in ≥ 50% of deal-desk decisions; Wave-2 GTM (15 markets)</t>
  </si>
  <si>
    <t xml:space="preserve">Wave-3 GTM (30+ markets); value-share and usage models for receivables and agent rails</t>
  </si>
  <si>
    <t xml:space="preserve">8. Talent &amp; change</t>
  </si>
  <si>
    <t xml:space="preserve">Map roles touched by Now wave; AI Champions assigned per use case; skills baseline</t>
  </si>
  <si>
    <t xml:space="preserve">Workflow redesign for servicing and onboarding teams (not just tool access)</t>
  </si>
  <si>
    <t xml:space="preserve">Roles redefined for 3 workflows; fluency in performance criteria for AI product team</t>
  </si>
  <si>
    <t xml:space="preserve">Super-IC roles in product and ops; redeployment tracked against ledger</t>
  </si>
  <si>
    <t xml:space="preserve">AI-native org design for Services product and operations</t>
  </si>
  <si>
    <t xml:space="preserve">9. Measurement &amp; communication</t>
  </si>
  <si>
    <t xml:space="preserve">KPI tree per mandate (Strategy on a Page); telemetry standard; comms plan</t>
  </si>
  <si>
    <t xml:space="preserve">Quarterly value report #1 to Head of Services; pipeline dashboard</t>
  </si>
  <si>
    <t xml:space="preserve">Leading/lagging indicators in Services MBR; incident and learning loop reported</t>
  </si>
  <si>
    <t xml:space="preserve">External disclosure prepared (Transparency pillar); benchmark vs Evident peers</t>
  </si>
  <si>
    <t xml:space="preserve">Services recognized as transaction-banking AI leader</t>
  </si>
  <si>
    <t xml:space="preserve">Exit criteria by period (what 'done' means)</t>
  </si>
  <si>
    <t xml:space="preserve">Period</t>
  </si>
  <si>
    <t xml:space="preserve">Office chartered; portfolio scored with owners; ontology v0; control library v1 agreed; 10 design partners in recruitment; Now wave started</t>
  </si>
  <si>
    <t xml:space="preserve">First value report; pipeline SLAs live; components with owners; cohort cadence running; leakage recovery producing cash</t>
  </si>
  <si>
    <t xml:space="preserve">≥ 5 use cases with Finance-verified value; 2 client products in canary; cycle time targets met; Wave-1 GTM</t>
  </si>
  <si>
    <t xml:space="preserve">≥ 2 client products GA in 10+ markets with ≥ 500 active clients; pricing intelligence in deal desk; Tier-4 use cases validated; maturity ≥ 3.3</t>
  </si>
  <si>
    <t xml:space="preserve">Agentic rails live with design partners; AI-attributed revenue disclosed; maturity ≥ 4.0; Evident contribution visible</t>
  </si>
  <si>
    <t xml:space="preserve">Benchmarks &amp; Peers — what others have done (2025–2026), and what Services should copy, adapt or avoid</t>
  </si>
  <si>
    <t xml:space="preserve">Dated facts; sources on the Sources tab. 'Copy' = proven and transferable; 'Adapt' = right idea, different economics; 'Avoid' = trap.</t>
  </si>
  <si>
    <t xml:space="preserve">A. Banks</t>
  </si>
  <si>
    <t xml:space="preserve">Bank</t>
  </si>
  <si>
    <t xml:space="preserve">What they did (dated)</t>
  </si>
  <si>
    <t xml:space="preserve">Transaction-banking relevance</t>
  </si>
  <si>
    <t xml:space="preserve">Implication for Services</t>
  </si>
  <si>
    <t xml:space="preserve">Verdict</t>
  </si>
  <si>
    <t xml:space="preserve">JPMorganChase (Evident #1)</t>
  </si>
  <si>
    <t xml:space="preserve">LLM Suite to ~200k+ staff (150k weekly users); AI 'paid for itself' — ~$2B benefit on ~$2B spend (Dimon, Oct 2025); 2026 tech budget $19.8B. Payments: manual exceptions −50% while volumes +50%; screening 2x volume with half the manual checks; KYC unit cost −40%; priorities: agentic commerce, cash-flow forecasting, sales enablement, pricing optimization; Kinexys tokenized settlement.</t>
  </si>
  <si>
    <t xml:space="preserve">Discloses $ value; business-line ownership; exceptions/screening as the efficiency engine</t>
  </si>
  <si>
    <t xml:space="preserve">Value ledger and disclosure; exceptions and screening first; pricing optimization as an explicit bet</t>
  </si>
  <si>
    <t xml:space="preserve">Copy</t>
  </si>
  <si>
    <t xml:space="preserve">JPM Payments line (Jun 2026): winners will have the most governable AI, not the most AI — the governance-as-product thesis in this workbook</t>
  </si>
  <si>
    <t xml:space="preserve">BNY</t>
  </si>
  <si>
    <t xml:space="preserve">Eliza platform: 125+ AI solutions in production; 134 'digital employees' with logins and personas; ~$3.8B tech spend (19% of revenue); OpenAI partnership; near-universal 10-hour training.</t>
  </si>
  <si>
    <t xml:space="preserve">Agents as first-class org members with identity and entitlements</t>
  </si>
  <si>
    <t xml:space="preserve">Agent identity/entitlement model for Tier-3 agents (E-04, E-05)</t>
  </si>
  <si>
    <t xml:space="preserve">Adapt</t>
  </si>
  <si>
    <t xml:space="preserve">Digital-employee framing works internally; client-facing needs stronger explainability</t>
  </si>
  <si>
    <t xml:space="preserve">Goldman Sachs</t>
  </si>
  <si>
    <t xml:space="preserve">GS AI Assistant firmwide (Jun 2025); Devin; six-month Anthropic collaboration on trade accounting/reconciliation and client-onboarding agents; OneGS 3.0 operating-model overhaul (Oct 2025).</t>
  </si>
  <si>
    <t xml:space="preserve">Agents on reconciliation and onboarding — direct analogs for Investor Services and Implementations</t>
  </si>
  <si>
    <t xml:space="preserve">E-05, I-05 patterns</t>
  </si>
  <si>
    <t xml:space="preserve">Operating-model overhaul paired with AI — not AI alone</t>
  </si>
  <si>
    <t xml:space="preserve">Bank of America</t>
  </si>
  <si>
    <t xml:space="preserve">$13B tech spend; Erica 3.2B interactions; Erica for Employees ~90% of staff; CashPro Forecasting used by 3,000+ companies, 250k client hours saved, model 5x faster; Ask GPS internal GenAI; 18k developers with coding assistants; 15 GenAI use cases live from 45+ POCs.</t>
  </si>
  <si>
    <t xml:space="preserve">The closest peer for client-facing treasury AI: forecasting bundled into CashPro at scale</t>
  </si>
  <si>
    <t xml:space="preserve">C-01 as the first client product; bundled pricing; measure client hours saved</t>
  </si>
  <si>
    <t xml:space="preserve">Note the funnel discipline: 45+ POCs → 15 live</t>
  </si>
  <si>
    <t xml:space="preserve">HSBC</t>
  </si>
  <si>
    <t xml:space="preserve">Chief AI Officer (Mar 2026); Global AI CoE Singapore (100+ hires); Google Cloud partnership targeting 200+ use cases; Mistral self-hosted; Mastercard B2B agentic-commerce pilot (May 2026); founding member of EPAA agent-payment liability working group; agentic trade-finance PoC with Microsoft/ANZ/Lloyds (LC parsing, ERP cross-check, sanctions/dual-use flags).</t>
  </si>
  <si>
    <t xml:space="preserve">Trade-finance agents and agentic-payment standards participation</t>
  </si>
  <si>
    <t xml:space="preserve">E-07/C-07 pattern; join standards bodies for C-09</t>
  </si>
  <si>
    <t xml:space="preserve">Singapore as APAC AI hub mirrors Citi's own Services AI postings there</t>
  </si>
  <si>
    <t xml:space="preserve">Wells Fargo</t>
  </si>
  <si>
    <t xml:space="preserve">Google Agentspace/Gemini toward 215k employees; Fargo 1B interactions; use cases incl. CIB FX post-trade inquiries, 250k vendor contracts/yr, KYC.</t>
  </si>
  <si>
    <t xml:space="preserve">Post-trade inquiry automation in CIB</t>
  </si>
  <si>
    <t xml:space="preserve">I-03 analog</t>
  </si>
  <si>
    <t xml:space="preserve">Standard Chartered</t>
  </si>
  <si>
    <t xml:space="preserve">SC GPT to 80k staff/~50 markets; 15,300 daily active users; 300+ use cases (30+ GenAI in production); ~6% average productivity uplift; 'AI Factory' of reusable components incl. agentic and IDP; transaction banking used it for legal-document analysis.</t>
  </si>
  <si>
    <t xml:space="preserve">Reusable-component factory in a multi-market transaction bank</t>
  </si>
  <si>
    <t xml:space="preserve">Component ownership model (R2 loop)</t>
  </si>
  <si>
    <t xml:space="preserve">6% average uplift is the honest number for broad assistants — the P&amp;L comes from workflow redesign</t>
  </si>
  <si>
    <t xml:space="preserve">DBS</t>
  </si>
  <si>
    <t xml:space="preserve">S$1B AI economic value in 2025 (target set 2022); agentic credit-memo agents (70+ tasks) to ~1,500 corporate bankers targeting ≥30% time reduction (Aug 2026).</t>
  </si>
  <si>
    <t xml:space="preserve">Multi-year value target set publicly, then hit</t>
  </si>
  <si>
    <t xml:space="preserve">Set a Services value target with a date</t>
  </si>
  <si>
    <t xml:space="preserve">Deutsche Bank</t>
  </si>
  <si>
    <t xml:space="preserve">Design partner for Google Cloud Gemini Enterprise for Financial Services (Aug 2026); first deployed in Corporate Bank MidCorp coverage; DB Lumina research tool.</t>
  </si>
  <si>
    <t xml:space="preserve">Coverage-side agent in a corporate bank (mid-market)</t>
  </si>
  <si>
    <t xml:space="preserve">I-02 for Commercial segment</t>
  </si>
  <si>
    <t xml:space="preserve">Citi Wealth is also a named design partner — Services can piggyback</t>
  </si>
  <si>
    <t xml:space="preserve">Citi (firmwide, for reference)</t>
  </si>
  <si>
    <t xml:space="preserve">Citi Assist/Stylus/Stylus Workspaces to 180k+ employees in 85 countries; ~9 in 10 using tools (Q2'26); Copilot + Devin to 40k developers (~100k hours/week); 100+ end-to-end processes mapped for automation; Citi Sky (Wealth, Apr 2026); Group Head of AI appointed May 2026 after Head of AI departure; Evident #12 (from #8).</t>
  </si>
  <si>
    <t xml:space="preserve">Enterprise foundation is strong; business-line value capture and disclosure lag</t>
  </si>
  <si>
    <t xml:space="preserve">Services can be the business line that closes the disclosure gap</t>
  </si>
  <si>
    <t xml:space="preserve">—</t>
  </si>
  <si>
    <t xml:space="preserve">Consent orders: OCC 2024 amendment terminated Dec 2025; 2020 orders remain; data/regulatory reporting is the residual</t>
  </si>
  <si>
    <t xml:space="preserve">B. Fintechs, networks and infrastructure (competitive and partnership context)</t>
  </si>
  <si>
    <t xml:space="preserve">Player</t>
  </si>
  <si>
    <t xml:space="preserve">Relevance</t>
  </si>
  <si>
    <t xml:space="preserve">Implication</t>
  </si>
  <si>
    <t xml:space="preserve">Stripe</t>
  </si>
  <si>
    <t xml:space="preserve">Agentic Commerce Suite; Machine Payments Protocol (stablecoin/fiat agent payments); agent-ready financial accounts (pay invoices, create cards); conceded agentic commerce 'overhyped too early' (Feb 2026); OpenAI Instant Checkout discontinued Mar 2026.</t>
  </si>
  <si>
    <t xml:space="preserve">Threat at the Commercial/mid-market low end; agent payments still early</t>
  </si>
  <si>
    <t xml:space="preserve">Watch; do not over-invest in consumer-style agentic checkout</t>
  </si>
  <si>
    <t xml:space="preserve">Adyen</t>
  </si>
  <si>
    <t xml:space="preserve">'Adyen Agentic' catalog/checkout/risk layer for AI agents; in Mastercard Agent Pay for Machines.</t>
  </si>
  <si>
    <t xml:space="preserve">Same as Stripe for merchants</t>
  </si>
  <si>
    <t xml:space="preserve">Watch</t>
  </si>
  <si>
    <t xml:space="preserve">Kyriba / HighRadius / SAP Taulia</t>
  </si>
  <si>
    <t xml:space="preserve">Kyriba TAI agentic (human-in-loop); HighRadius 186 agents across 20 products, 'fully autonomous by 2027'; SAP Taulia Working Capital Agent (GA Q4 2026, $1.2T volumes).</t>
  </si>
  <si>
    <t xml:space="preserve">TMS/AR vendors are moving into forecasting, receivables and working-capital decisions — the same space as C-01/C-02/C-04</t>
  </si>
  <si>
    <t xml:space="preserve">Partner where they own the client's ERP workflow; compete on bank-side data (balances, flows) and execution</t>
  </si>
  <si>
    <t xml:space="preserve">Mastercard / Visa</t>
  </si>
  <si>
    <t xml:space="preserve">Agent Pay (Citi cardholders first, Oct–Nov 2025); Agent Pay for Machines (Jun 2026, 30+ partners); Visa Intelligent Commerce live with 30+ European issuers (Jul 2026); Trusted Agent Protocol.</t>
  </si>
  <si>
    <t xml:space="preserve">Networks are setting agent identity/authorization standards; commercial-card and B2B flows are next</t>
  </si>
  <si>
    <t xml:space="preserve">Participate; align C-09 with network protocols</t>
  </si>
  <si>
    <t xml:space="preserve">Copy (standards)</t>
  </si>
  <si>
    <t xml:space="preserve">Google AP2 / UCP</t>
  </si>
  <si>
    <t xml:space="preserve">Agents-to-Payments Protocol (Sep 2025, 60+ partners); v0.2 'human not present' (May 2026); crypto extension x402.</t>
  </si>
  <si>
    <t xml:space="preserve">Protocol layer for agent mandates</t>
  </si>
  <si>
    <t xml:space="preserve">Track; pilot with 5 clients</t>
  </si>
  <si>
    <t xml:space="preserve">Swift</t>
  </si>
  <si>
    <t xml:space="preserve">AI anomaly-detection fraud service live (Jan 2025); federated-learning experiment with Google Cloud and 13 banks doubled detection effectiveness (Sep 2025); blockchain ledger pilot with 17 banks incl. Citi (Jul 2026).</t>
  </si>
  <si>
    <t xml:space="preserve">Shared-signal fraud detection without sharing data; Citi already in the ledger pilot</t>
  </si>
  <si>
    <t xml:space="preserve">Join federated fraud phase 2 (E-08, C-06)</t>
  </si>
  <si>
    <t xml:space="preserve">C. Enterprise AI adoption benchmarks — the 'middle of the pack' reality</t>
  </si>
  <si>
    <t xml:space="preserve">Source</t>
  </si>
  <si>
    <t xml:space="preserve">Finding</t>
  </si>
  <si>
    <t xml:space="preserve">So what for Services</t>
  </si>
  <si>
    <t xml:space="preserve">McKinsey State of AI 2026 (Aug 2026, n=1,719)</t>
  </si>
  <si>
    <t xml:space="preserve">~90% use AI; 44% scaling enterprise-wide (54% at $1B+); ~20% scaling agents (40% at large firms); 37% report EBIT contribution; 6% 'high performers' redesign workflows 73% vs 25% and spend 15%+ of ICT budget on AI at 2x the rate; only 14% saw AI-driven headcount reduction; 20% constrained by token/operating costs.</t>
  </si>
  <si>
    <t xml:space="preserve">Workflow redesign — not tool access — separates high performers; plan for run-cost early (B2 loop)</t>
  </si>
  <si>
    <t xml:space="preserve">BCG Widening AI Value Gap (Sep 2025, n=1,250)</t>
  </si>
  <si>
    <t xml:space="preserve">5% 'future-built', 35% scalers, 60% laggards; leaders 1.7x revenue growth, 3.6x TSR; agentic AI 17% of AI value now → 29% by 2028; payments/fintech among most mature sectors.</t>
  </si>
  <si>
    <t xml:space="preserve">Services' sector peers are ahead — the gap is closable but the clock is running</t>
  </si>
  <si>
    <t xml:space="preserve">MIT NANDA 'GenAI Divide' (Aug 2025)</t>
  </si>
  <si>
    <t xml:space="preserve">95% of enterprise GenAI pilots show no measurable P&amp;L impact; ~5% of custom tools reach production; vendor partnerships ~2x success of internal builds (methodology criticized).</t>
  </si>
  <si>
    <t xml:space="preserve">Pilot theater is the default failure mode (Systems View, archetype 1)</t>
  </si>
  <si>
    <t xml:space="preserve">Gartner (Jun 2025)</t>
  </si>
  <si>
    <t xml:space="preserve">&gt;40% of agentic AI projects cancelled by end-2027 (cost, unclear value, weak risk controls); 'agent washing' widespread.</t>
  </si>
  <si>
    <t xml:space="preserve">Keep agentic bets small and bounded until controls and value are proven</t>
  </si>
  <si>
    <t xml:space="preserve">Deloitte State of AI in the Enterprise 2026 (Jan 2026, n=3,235)</t>
  </si>
  <si>
    <t xml:space="preserve">Workforce AI access ~60%; only 25% moved 40%+ of pilots to production; 21% have mature agent governance; ~75% plan agentic deployment within 2 years.</t>
  </si>
  <si>
    <t xml:space="preserve">Agent governance maturity is the scarce capability — build it (Operating Model, Tier 3–4)</t>
  </si>
  <si>
    <t xml:space="preserve">Evident AI Index (Oct 2025, 50 banks)</t>
  </si>
  <si>
    <t xml:space="preserve">1 JPM, 2 Capital One, 3 RBC, 4 CommBank, 5 Morgan Stanley, 6 Wells, 7 UBS, 8 HSBC, 9 Goldman, 10 BofA; Citi #12 (from #8) with Talent 5th, Innovation 6th, Leadership 26th, Transparency 30th [verify sub-pillars]; 8 banks disclose portfolio ROI.</t>
  </si>
  <si>
    <t xml:space="preserve">Citi's gap is leadership narrative and transparency, not talent or innovation — precisely what a business-line value ledger and disclosure fix</t>
  </si>
  <si>
    <t xml:space="preserve">Panel Review — product leaders, strategists &amp; business engineers, systems thinkers</t>
  </si>
  <si>
    <t xml:space="preserve">Each panelist's published framework is applied to this strategy. These are lens-applications, not quotations. The panel's synthesis is at the top; the individual reviews follow.</t>
  </si>
  <si>
    <t xml:space="preserve">Panel synthesis (what the panel wrote)</t>
  </si>
  <si>
    <t xml:space="preserve">Synthesis</t>
  </si>
  <si>
    <t xml:space="preserve">Convergent view 1</t>
  </si>
  <si>
    <t xml:space="preserve">The diagnosis is right and unusual: the constraint is the governed path to production, not models or money. Most AI strategies for banks skip the diagnosis and start with use-case lists; this one earns its list.</t>
  </si>
  <si>
    <t xml:space="preserve">Convergent view 2</t>
  </si>
  <si>
    <t xml:space="preserve">The commercial insight — that Services monetizes AI through balances and share of wallet, not feature fees — is the most defensible and most differentiating claim in the workbook. Lead with it in the conversation.</t>
  </si>
  <si>
    <t xml:space="preserve">Convergent view 3</t>
  </si>
  <si>
    <t xml:space="preserve">Ontology-as-product is the right foundation and is unusually fundable here because it is the same work as the consent-order lineage remediation.</t>
  </si>
  <si>
    <t xml:space="preserve">Convergent view 4</t>
  </si>
  <si>
    <t xml:space="preserve">Client co-creation is the demand engine; without named design partners the client mandate stays theoretical. The cohort must be in the first 90 days.</t>
  </si>
  <si>
    <t xml:space="preserve">Disagreement 1</t>
  </si>
  <si>
    <t xml:space="preserve">Product leaders want fewer bets (5–6) with total focus; strategists accept 8–10 given five mandates; systems thinkers say bet count matters less than pipeline throughput. Resolution: 8 named bets, but only 3 'protected' at any time.</t>
  </si>
  <si>
    <t xml:space="preserve">Disagreement 2</t>
  </si>
  <si>
    <t xml:space="preserve">How aggressive to be on agentic payments (C-09): business engineers see a platform-shift window; systems thinkers see a Tier-4 control problem and IMF's probabilistic-vs-deterministic tension. Resolution: small, convex position — 5 clients, explicit mandates, standards participation.</t>
  </si>
  <si>
    <t xml:space="preserve">Send it. It shows how AI strategy is done at a bank of this kind (pipeline, tiers, hub-and-spoke, regulatory map), takes a position (balances over fees; ontology before models), and gives the hiring manager something he can act on Monday (Now wave, cohort, ledger).</t>
  </si>
  <si>
    <t xml:space="preserve">A. Product leaders</t>
  </si>
  <si>
    <t xml:space="preserve">Panelist</t>
  </si>
  <si>
    <t xml:space="preserve">Lens</t>
  </si>
  <si>
    <t xml:space="preserve">Endorses</t>
  </si>
  <si>
    <t xml:space="preserve">Pushes back</t>
  </si>
  <si>
    <t xml:space="preserve">Change requested</t>
  </si>
  <si>
    <t xml:space="preserve">Landed in</t>
  </si>
  <si>
    <t xml:space="preserve">Marty Cagan</t>
  </si>
  <si>
    <t xml:space="preserve">Empowered teams; outcomes over output; product strategy = focus + insights + action</t>
  </si>
  <si>
    <t xml:space="preserve">business-line ownership with P&amp;L, outcome KPIs per mandate, principles that resolve trade-offs.</t>
  </si>
  <si>
    <t xml:space="preserve">40 use cases is a feature list; empowered teams need 3–5 problems to solve, not 40 solutions to build. Where are the product teams and their objectives?</t>
  </si>
  <si>
    <t xml:space="preserve">Frame the Now wave as 4 team objectives (servicing effort, onboarding time, RFP cycle, leakage) and let teams pick solutions.</t>
  </si>
  <si>
    <t xml:space="preserve">Strategy on a Page; Portfolio</t>
  </si>
  <si>
    <t xml:space="preserve">Teresa Torres</t>
  </si>
  <si>
    <t xml:space="preserve">Continuous discovery; opportunity solution trees; weekly customer touchpoints</t>
  </si>
  <si>
    <t xml:space="preserve">10-client cohorts with monthly cadence; discovery synthesis from 3M+ inquiries (D-01).</t>
  </si>
  <si>
    <t xml:space="preserve">monthly is too slow for discovery; and inquiries tell you about today's product, not tomorrow's opportunity.</t>
  </si>
  <si>
    <t xml:space="preserve">Weekly touchpoints for the product trio on client products; opportunity tree per business line before scoring solutions.</t>
  </si>
  <si>
    <t xml:space="preserve">Pricing &amp; Commercial (playbook); Roadmap WS6</t>
  </si>
  <si>
    <t xml:space="preserve">Shreyas Doshi</t>
  </si>
  <si>
    <t xml:space="preserve">LNO (leverage/neutral/overhead); clarity of the one thing; pre-mortems</t>
  </si>
  <si>
    <t xml:space="preserve">leverage points ranking; binding-constraint framing; 'measure P&amp;L not pilots'.</t>
  </si>
  <si>
    <t xml:space="preserve">what is the one thing the hiring manager should remember? Too many good ideas dilute the memorable one.</t>
  </si>
  <si>
    <t xml:space="preserve">Open the conversation with one sentence: 'Services' AI gap is a pipeline gap, and the pipeline is the product I'd build.' Run a pre-mortem on the Now wave.</t>
  </si>
  <si>
    <t xml:space="preserve">Next Moves</t>
  </si>
  <si>
    <t xml:space="preserve">Gibson Biddle</t>
  </si>
  <si>
    <t xml:space="preserve">DHM: delight customers in hard-to-copy, margin-enhancing ways</t>
  </si>
  <si>
    <t xml:space="preserve">client products chosen where Citi's bank-side data (balances, flows) is hard for TMS vendors to copy.</t>
  </si>
  <si>
    <t xml:space="preserve">several client use cases are copyable by Kyriba/HighRadius on the ERP side; only balance-linked and execution-linked features are hard to copy.</t>
  </si>
  <si>
    <t xml:space="preserve">Score 'hard to copy' explicitly; favor C-02, C-03, C-09 over C-04 on that axis.</t>
  </si>
  <si>
    <t xml:space="preserve">Portfolio (strategic fit)</t>
  </si>
  <si>
    <t xml:space="preserve">Melissa Perri</t>
  </si>
  <si>
    <t xml:space="preserve">Escaping the build trap; outcome-based roadmaps</t>
  </si>
  <si>
    <t xml:space="preserve">exit criteria per period; value ledger; kill dates for pilots.</t>
  </si>
  <si>
    <t xml:space="preserve">roadmap cells still read like outputs in places (components with owners, markets live).</t>
  </si>
  <si>
    <t xml:space="preserve">Add an outcome column to the Roadmap in the workshop version.</t>
  </si>
  <si>
    <t xml:space="preserve">Roadmap</t>
  </si>
  <si>
    <t xml:space="preserve">April Dunford</t>
  </si>
  <si>
    <t xml:space="preserve">Positioning: competitive alternatives, unique attributes, value, best-fit customers</t>
  </si>
  <si>
    <t xml:space="preserve">segment table with willingness to pay and readiness; Commercial segment as pricing test bed.</t>
  </si>
  <si>
    <t xml:space="preserve">the client products lack a positioning statement against TMS vendors and fintechs.</t>
  </si>
  <si>
    <t xml:space="preserve">Write one line per client product: 'Unlike a TMS forecast, Citi's forecast sees your actual balances and executes.'</t>
  </si>
  <si>
    <t xml:space="preserve">Industry &amp; Clients; Pricing</t>
  </si>
  <si>
    <t xml:space="preserve">B. Strategists, consultants and business engineers</t>
  </si>
  <si>
    <t xml:space="preserve">Richard Rumelt</t>
  </si>
  <si>
    <t xml:space="preserve">Strategy kernel: diagnosis, guiding policy, coherent action; avoid 'bad strategy' (goals dressed as strategy)</t>
  </si>
  <si>
    <t xml:space="preserve">the kernel is explicit on Strategy on a Page; the diagnosis names a constraint rather than an aspiration.</t>
  </si>
  <si>
    <t xml:space="preserve">'AI-native' language in the maturity model drifts toward fluff; the coherent actions must be visibly mutually reinforcing.</t>
  </si>
  <si>
    <t xml:space="preserve">Keep the maturity labels but tie each action to the constraint it relieves (done in Systems View D).</t>
  </si>
  <si>
    <t xml:space="preserve">Strategy on a Page</t>
  </si>
  <si>
    <t xml:space="preserve">Roger Martin</t>
  </si>
  <si>
    <t xml:space="preserve">Strategy is choice: where to play, how to win; a plan is not a strategy</t>
  </si>
  <si>
    <t xml:space="preserve">choosing balances-over-fees, Commercial segment first, and pre-approved patterns are real choices with costs.</t>
  </si>
  <si>
    <t xml:space="preserve">where NOT to play is under-stated (consumer-style agentic checkout, building foundation models, competing with TMS vendors on ERP workflow).</t>
  </si>
  <si>
    <t xml:space="preserve">Add a 'not doing' list to the conversation (three items above).</t>
  </si>
  <si>
    <t xml:space="preserve">Hamilton Helmer</t>
  </si>
  <si>
    <t xml:space="preserve">7 Powers: scale economies, network effects, counter-positioning, switching costs, branding, cornered resource, process power</t>
  </si>
  <si>
    <t xml:space="preserve">process power (the governed pipeline) and cornered resource (bank-side balance/flow data) are the powers AI can create for Services.</t>
  </si>
  <si>
    <t xml:space="preserve">switching costs from AI features are weak unless features are embedded in execution (routing, sweeps), not just insight.</t>
  </si>
  <si>
    <t xml:space="preserve">Prioritize execution-embedded features (C-02, C-03) over insight-only features for durable power.</t>
  </si>
  <si>
    <t xml:space="preserve">Portfolio; Pricing</t>
  </si>
  <si>
    <t xml:space="preserve">Clayton Christensen</t>
  </si>
  <si>
    <t xml:space="preserve">Jobs to be done; low-end disruption</t>
  </si>
  <si>
    <t xml:space="preserve">JTBD by segment; recognition that Commercial/mid-market is the disruption entry point for fintechs.</t>
  </si>
  <si>
    <t xml:space="preserve">the strategy defends the high end well but the low-end response (self-serve, automated, cheaper) is thin.</t>
  </si>
  <si>
    <t xml:space="preserve">Make CitiDirect Commercial with embedded AI a first-class product bet, not a channel feature.</t>
  </si>
  <si>
    <t xml:space="preserve">Industry &amp; Clients</t>
  </si>
  <si>
    <t xml:space="preserve">Michael Porter</t>
  </si>
  <si>
    <t xml:space="preserve">Operational effectiveness vs strategic positioning; activity-system fit</t>
  </si>
  <si>
    <t xml:space="preserve">separating efficiency (necessary, not sufficient) from client products (positioning).</t>
  </si>
  <si>
    <t xml:space="preserve">much of the Now wave is operational effectiveness every peer is also doing — it buys parity, not advantage.</t>
  </si>
  <si>
    <t xml:space="preserve">Be explicit: Now wave = parity and cash; Next wave = advantage. Do not oversell parity as strategy.</t>
  </si>
  <si>
    <t xml:space="preserve">Strategy on a Page (horizons)</t>
  </si>
  <si>
    <t xml:space="preserve">Gennaro Cuofano (The Business Engineer)</t>
  </si>
  <si>
    <t xml:space="preserve">BIA: constraint mapping (bottleneck/substitution/veto tests), AI Implementation Pyramid (≈70/15/10/5), FRED readiness test, Dual-Engine, Agentic four-phase moat building</t>
  </si>
  <si>
    <t xml:space="preserve">the binding-constraint discipline; the pyramid-shaped allocation (Portfolio Summary mix); agentic bets kept at the 'Foundation' phase until reliability and trust exist.</t>
  </si>
  <si>
    <t xml:space="preserve">the veto test is under-applied — regional COOs and MRM hold veto power; the strategy names them but does not yet give them a stake.</t>
  </si>
  <si>
    <t xml:space="preserve">Give MRM and regional COOs co-ownership of pipeline KPIs (cycle time) so veto holders become throughput owners. Run the FRED test with the hiring manager: Foundation (data), Resources, Executive alignment, Deployment capability.</t>
  </si>
  <si>
    <t xml:space="preserve">Systems View D; Operating Model B</t>
  </si>
  <si>
    <t xml:space="preserve">McKinsey / BCG practice view</t>
  </si>
  <si>
    <t xml:space="preserve">Domain-led transformation; rewire workflows; value gap; 'future-built' traits</t>
  </si>
  <si>
    <t xml:space="preserve">domain (business-line) ownership; workflow redesign in the talent workstream; value tracking.</t>
  </si>
  <si>
    <t xml:space="preserve">high performers spend 15%+ of ICT budget on AI at twice the rate of others — the $150M investment assumption may be low relative to a &gt;$2B platform budget.</t>
  </si>
  <si>
    <t xml:space="preserve">Size investment as a share of platform spend (e.g., 10–15%) rather than a round number.</t>
  </si>
  <si>
    <t xml:space="preserve">Business Case</t>
  </si>
  <si>
    <t xml:space="preserve">C. Systems thinkers</t>
  </si>
  <si>
    <t xml:space="preserve">Donella Meadows</t>
  </si>
  <si>
    <t xml:space="preserve">Leverage points; stocks and flows; system purpose</t>
  </si>
  <si>
    <t xml:space="preserve">leverage points ranked; paradigm and goals above rules and parameters; stocks named.</t>
  </si>
  <si>
    <t xml:space="preserve">the slowest stock (trusted data) sets the pace of everything; the roadmap still front-loads use cases before the stock has accumulated.</t>
  </si>
  <si>
    <t xml:space="preserve">Gate Next-wave client products on ontology readiness ≥ 4, explicitly, in the roadmap.</t>
  </si>
  <si>
    <t xml:space="preserve">Systems View A/C; Roadmap WS2</t>
  </si>
  <si>
    <t xml:space="preserve">Peter Senge</t>
  </si>
  <si>
    <t xml:space="preserve">Learning organization; system archetypes; mental models</t>
  </si>
  <si>
    <t xml:space="preserve">archetypes to avoid; incident learning loop.</t>
  </si>
  <si>
    <t xml:space="preserve">'shifting the burden' to vendors is the live risk given the Google Cloud dependency and vendor-led agent platforms.</t>
  </si>
  <si>
    <t xml:space="preserve">Name the internal capabilities that must never be outsourced (ontology, evals, domain workflows).</t>
  </si>
  <si>
    <t xml:space="preserve">Operating Model F</t>
  </si>
  <si>
    <t xml:space="preserve">Eliyahu Goldratt</t>
  </si>
  <si>
    <t xml:space="preserve">Theory of Constraints; five focusing steps; throughput accounting</t>
  </si>
  <si>
    <t xml:space="preserve">the five steps applied to the pipeline; subordinating intake to constraint capacity.</t>
  </si>
  <si>
    <t xml:space="preserve">measure throughput (use cases reaching verified value per quarter), not utilization of teams; local efficiencies elsewhere are noise.</t>
  </si>
  <si>
    <t xml:space="preserve">One throughput KPI at the top of the value report.</t>
  </si>
  <si>
    <t xml:space="preserve">Systems View D</t>
  </si>
  <si>
    <t xml:space="preserve">Russell Ackoff</t>
  </si>
  <si>
    <t xml:space="preserve">Systems purpose; idealized design; doing the right thing vs doing the wrong thing righter</t>
  </si>
  <si>
    <t xml:space="preserve">the purpose statement; designing the pipeline from the ideal end-state backwards.</t>
  </si>
  <si>
    <t xml:space="preserve">efficiency use cases risk 'doing the wrong thing righter' — automating exceptions instead of eliminating their causes (ISO 20022 data quality, client formatting).</t>
  </si>
  <si>
    <t xml:space="preserve">Pair every exception-automation use case with a root-cause elimination metric (exceptions per million).</t>
  </si>
  <si>
    <t xml:space="preserve">Portfolio KPIs</t>
  </si>
  <si>
    <t xml:space="preserve">Jay Forrester</t>
  </si>
  <si>
    <t xml:space="preserve">System dynamics; delays; policy resistance</t>
  </si>
  <si>
    <t xml:space="preserve">delays table; balancing loops named.</t>
  </si>
  <si>
    <t xml:space="preserve">policy resistance is likely — business lines will route around the single pipeline if it is slow. The fast lane must be visibly fast within 90 days.</t>
  </si>
  <si>
    <t xml:space="preserve">Publish cycle-time SLAs early and hit them for Tier 1–2.</t>
  </si>
  <si>
    <t xml:space="preserve">Systems View F; Roadmap WS3</t>
  </si>
  <si>
    <t xml:space="preserve">Stafford Beer</t>
  </si>
  <si>
    <t xml:space="preserve">Viable System Model: operations (S1), coordination (S2), control (S3), intelligence (S4), policy (S5)</t>
  </si>
  <si>
    <t xml:space="preserve">hub-and-spoke maps to VSM — spokes are S1, pipeline/standards are S2–S3, this role's market and client sensing is S4, Head of Services is S5.</t>
  </si>
  <si>
    <t xml:space="preserve">S4 (intelligence about the environment — regulators, networks, fintechs) is thin in most bank AI orgs; the regulatory map and benchmarks must be maintained, not one-off.</t>
  </si>
  <si>
    <t xml:space="preserve">Standing S4 function: quarterly environment scan feeding the portfolio re-score.</t>
  </si>
  <si>
    <t xml:space="preserve">Operating Model B; Benchmarks</t>
  </si>
  <si>
    <t xml:space="preserve">W. Edwards Deming</t>
  </si>
  <si>
    <t xml:space="preserve">Variation; measurement; drive out fear</t>
  </si>
  <si>
    <t xml:space="preserve">eval harness and monitoring as continuous measurement.</t>
  </si>
  <si>
    <t xml:space="preserve">in a consent-order environment fear suppresses reporting of AI incidents; without psychological safety the learning loop fails.</t>
  </si>
  <si>
    <t xml:space="preserve">Blameless incident reviews for AI, reported upward as learning, not failure.</t>
  </si>
  <si>
    <t xml:space="preserve">Systems View B3</t>
  </si>
  <si>
    <t xml:space="preserve">Nassim Taleb</t>
  </si>
  <si>
    <t xml:space="preserve">Antifragility; barbell; via negativa</t>
  </si>
  <si>
    <t xml:space="preserve">barbell — mostly proven productivity/efficiency plus small convex bets (agentic rails, data products).</t>
  </si>
  <si>
    <t xml:space="preserve">any single client-facing failure is asymmetric downside in a bank; and 'via negativa' — what to stop doing — is missing.</t>
  </si>
  <si>
    <t xml:space="preserve">List what to stop: unowned pilots, bespoke builds, activity metrics as success measures.</t>
  </si>
  <si>
    <t xml:space="preserve">Portfolio Summary mix; Next Moves</t>
  </si>
  <si>
    <t xml:space="preserve">John Boyd</t>
  </si>
  <si>
    <t xml:space="preserve">OODA loop; tempo as advantage</t>
  </si>
  <si>
    <t xml:space="preserve">cycle time as a first-class KPI.</t>
  </si>
  <si>
    <t xml:space="preserve">peers already publish faster tempo (BofA 45 POCs → 15 live; JPM doubling production use cases yearly); the plan's 90/180-day SLAs must beat theirs to matter.</t>
  </si>
  <si>
    <t xml:space="preserve">Benchmark tempo, not just value, against peers quarterly.</t>
  </si>
  <si>
    <t xml:space="preserve">Roadmap WS3; Benchmarks</t>
  </si>
  <si>
    <t xml:space="preserve">Attribution: Business Engineering frameworks (constraint mapping, AI Implementation Pyramid, FRED test, Dual-Engine, agentic moat phases) — Analysis by The Business Engineer, by Gennaro Cuofano (businessengineer.ai). Other lenses are the named authors' published frameworks applied by the author of this workbook.</t>
  </si>
  <si>
    <t xml:space="preserve">Next Moves — how to use this with the hiring manager (for you, not for him)</t>
  </si>
  <si>
    <t xml:space="preserve">Briefcase Technique: bring the diagnosis and a plan, not a list. Peer-level tone; you are evaluating whether the mandate is real. Everything below is optional except the verify list.</t>
  </si>
  <si>
    <t xml:space="preserve">A. Packaging (what to send, in what order)</t>
  </si>
  <si>
    <t xml:space="preserve">1. One-page memo (send first)</t>
  </si>
  <si>
    <t xml:space="preserve">Diagnosis (pipeline gap, not capability gap) → guiding policy (ontology before models; balances over fees; one pipeline) → 3 protected bets for the business line he owns → one ask (decision rights + Finance-owned ledger). No more than 400 words.</t>
  </si>
  <si>
    <t xml:space="preserve">Rumelt kernel; Doshi's one thing</t>
  </si>
  <si>
    <t xml:space="preserve">Draft available on request</t>
  </si>
  <si>
    <t xml:space="preserve">2. This workbook (attach)</t>
  </si>
  <si>
    <t xml:space="preserve">Position it as 'how I'd run the first 90 days' plus 'how the domain does this' — not as a finished strategy. Point him to Strategy on a Page, Portfolio, Operating Model.</t>
  </si>
  <si>
    <t xml:space="preserve">Briefcase Technique</t>
  </si>
  <si>
    <t xml:space="preserve">3. Offer a working session</t>
  </si>
  <si>
    <t xml:space="preserve">Propose a 60-minute scoring workshop with his team using the Portfolio tab — it converts you from candidate to collaborator and surfaces his real priorities.</t>
  </si>
  <si>
    <t xml:space="preserve">Sethi; Torres</t>
  </si>
  <si>
    <t xml:space="preserve">4. Follow-up artifact</t>
  </si>
  <si>
    <t xml:space="preserve">After the conversation: a one-page 30-60-90 for the specific business line (Payments or LMS) and one deep-dive (cash-flow forecasting product one-pager, or fee-leakage engine design).</t>
  </si>
  <si>
    <t xml:space="preserve">Cagan</t>
  </si>
  <si>
    <t xml:space="preserve">Choose based on which line he owns</t>
  </si>
  <si>
    <t xml:space="preserve">B. Calibrated questions to ask him (each reveals whether the mandate is real)</t>
  </si>
  <si>
    <t xml:space="preserve">Theme</t>
  </si>
  <si>
    <t xml:space="preserve">Question</t>
  </si>
  <si>
    <t xml:space="preserve">What the answer tells you</t>
  </si>
  <si>
    <t xml:space="preserve">Scope</t>
  </si>
  <si>
    <t xml:space="preserve">Which business line is this role scoped to — Payments or Liquidity Management — and who is the executive sponsor for its AI P&amp;L?</t>
  </si>
  <si>
    <t xml:space="preserve">Tells you whether there is a P&amp;L owner behind the JD's language</t>
  </si>
  <si>
    <t xml:space="preserve">Pipeline</t>
  </si>
  <si>
    <t xml:space="preserve">What is the current median time from a GenAI use-case charter to production in Services, and where does it wait?</t>
  </si>
  <si>
    <t xml:space="preserve">Tests the diagnosis; if he doesn't know, that is the answer</t>
  </si>
  <si>
    <t xml:space="preserve">Of the 50+ use cases in the pipeline, how many have Finance-attributed value today?</t>
  </si>
  <si>
    <t xml:space="preserve">Tests the measurement gap</t>
  </si>
  <si>
    <t xml:space="preserve">Data</t>
  </si>
  <si>
    <t xml:space="preserve">Who owns the entity model for Services — Platforms &amp; Data Solutions? — and is lineage remediation funded as a product or as a compliance project?</t>
  </si>
  <si>
    <t xml:space="preserve">Tests ontology readiness and funding vehicle</t>
  </si>
  <si>
    <t xml:space="preserve">What changed for business-line AI leads when the firmwide AI organization was reorganized in May 2026?</t>
  </si>
  <si>
    <t xml:space="preserve">Tests hub/spoke decision rights</t>
  </si>
  <si>
    <t xml:space="preserve">Clients</t>
  </si>
  <si>
    <t xml:space="preserve">Which clients are already co-creating on AI, and under what agreement?</t>
  </si>
  <si>
    <t xml:space="preserve">Tests whether the client mandate exists or is aspirational</t>
  </si>
  <si>
    <t xml:space="preserve">Money</t>
  </si>
  <si>
    <t xml:space="preserve">How much of the Investor Day investment envelope reaches Services AI, and is it in the &gt;$2B platform budget or incremental?</t>
  </si>
  <si>
    <t xml:space="preserve">Tests resource reality (FRED test)</t>
  </si>
  <si>
    <t xml:space="preserve">C. Objections you will hear, and the honest response</t>
  </si>
  <si>
    <t xml:space="preserve">Objection</t>
  </si>
  <si>
    <t xml:space="preserve">Response</t>
  </si>
  <si>
    <t xml:space="preserve">Basis</t>
  </si>
  <si>
    <t xml:space="preserve">'Your background is Wealth and Cards, not transaction banking.'</t>
  </si>
  <si>
    <t xml:space="preserve">Acknowledge directly, then bridge: regulated AI delivery at Citi (Applied AI &amp; Partnerships; AI &amp; Architecture), client co-creation and partnership at scale ($1B partnership), and the fact that the constraint here is a pipeline and ontology problem — which is domain-agnostic — while the domain deconstruction in this workbook shows you have done the homework. Name the two areas you would learn fastest (payments operations detail; liquidity structures by market).</t>
  </si>
  <si>
    <t xml:space="preserve">Materials playbook: acknowledge gaps directly, pair with transferable strengths</t>
  </si>
  <si>
    <t xml:space="preserve">'This is a lot of tabs — what would you actually do first?'</t>
  </si>
  <si>
    <t xml:space="preserve">The Now wave plus the pipeline: E-01 in all markets, E-10, I-01, I-03, P-01; ontology v0; control library v1; cohort recruitment. One sentence each.</t>
  </si>
  <si>
    <t xml:space="preserve">Doshi's one thing</t>
  </si>
  <si>
    <t xml:space="preserve">'We already have 50 use cases.'</t>
  </si>
  <si>
    <t xml:space="preserve">Agree — the problem is not ideas. Ask which five have verified value and what the cycle time is. Offer the scoring workshop.</t>
  </si>
  <si>
    <t xml:space="preserve">'Is the $ business case credible?'</t>
  </si>
  <si>
    <t xml:space="preserve">It is a structure with public inputs; the only claim you defend is the shape (balances and cost-to-serve dominate; feature fees are small). Offer to replace inputs with his baselines in a week.</t>
  </si>
  <si>
    <t xml:space="preserve">Seniority signal (the BNY feedback)</t>
  </si>
  <si>
    <t xml:space="preserve">Speak in decision rights, P&amp;L and trade-offs — what you would protect, stop and fund — not in features. Position as evaluating the mandate: 'If the ledger and decision rights aren't there, the role can't deliver what the JD promises.'</t>
  </si>
  <si>
    <t xml:space="preserve">Overview notes; positioning rule</t>
  </si>
  <si>
    <t xml:space="preserve">D. What NOT to do (via negativa — say these out loud, they signal judgment)</t>
  </si>
  <si>
    <t xml:space="preserve">Not doing</t>
  </si>
  <si>
    <t xml:space="preserve">Because</t>
  </si>
  <si>
    <t xml:space="preserve">Build foundation models or compete with the enterprise platform</t>
  </si>
  <si>
    <t xml:space="preserve">Compose on Gemini/Anthropic/Llama via the hub; the moat is ontology, evals and domain workflows</t>
  </si>
  <si>
    <t xml:space="preserve">Chase consumer-style agentic checkout</t>
  </si>
  <si>
    <t xml:space="preserve">Stripe called it overhyped; OpenAI Instant Checkout was discontinued; B2B agent mandates are the relevant frontier</t>
  </si>
  <si>
    <t xml:space="preserve">Compete with TMS/AR vendors on ERP workflow</t>
  </si>
  <si>
    <t xml:space="preserve">Partner there; compete on bank-side balances, flows and execution</t>
  </si>
  <si>
    <t xml:space="preserve">Count prompts and users as success</t>
  </si>
  <si>
    <t xml:space="preserve">They are leading indicators; the ledger is the scoreboard</t>
  </si>
  <si>
    <t xml:space="preserve">Run unowned pilots</t>
  </si>
  <si>
    <t xml:space="preserve">Every pilot has a production owner, value hypothesis and kill date</t>
  </si>
  <si>
    <t xml:space="preserve">E. More you can do (extensions of this workbook)</t>
  </si>
  <si>
    <t xml:space="preserve">Extension</t>
  </si>
  <si>
    <t xml:space="preserve">Run the scoring workshop</t>
  </si>
  <si>
    <t xml:space="preserve">Portfolio tab with his team; replace the ratings; produce the Now wave with owners. 60 minutes.</t>
  </si>
  <si>
    <t xml:space="preserve">Highest leverage — turns the artifact into a shared plan</t>
  </si>
  <si>
    <t xml:space="preserve">Client-interview mini-study</t>
  </si>
  <si>
    <t xml:space="preserve">5–8 conversations with treasurers/FI operations contacts in your network on forecasting, routing and agentic treasury; add as a 'Voice of client' tab.</t>
  </si>
  <si>
    <t xml:space="preserve">Evidence for the client mandate; Torres cadence</t>
  </si>
  <si>
    <t xml:space="preserve">Replace business-case inputs</t>
  </si>
  <si>
    <t xml:space="preserve">Ask for servicing headcount, onboarding volumes, fee revenue by product, ops cost base; rerun sensitivities.</t>
  </si>
  <si>
    <t xml:space="preserve">Credibility</t>
  </si>
  <si>
    <t xml:space="preserve">One use-case charter</t>
  </si>
  <si>
    <t xml:space="preserve">Write the intake charter for C-01 or P-01 exactly as the pipeline (Operating Model A) requires: entities, tier, controls, value hypothesis, owner.</t>
  </si>
  <si>
    <t xml:space="preserve">Demonstrates the pipeline in miniature</t>
  </si>
  <si>
    <t xml:space="preserve">Positioning statements</t>
  </si>
  <si>
    <t xml:space="preserve">One line per client product vs TMS vendors and fintechs (Dunford).</t>
  </si>
  <si>
    <t xml:space="preserve">Client mandate</t>
  </si>
  <si>
    <t xml:space="preserve">Evident sub-pillar map</t>
  </si>
  <si>
    <t xml:space="preserve">Map how the role moves Leadership and Transparency pillars (disclosure, public case studies, conference presence).</t>
  </si>
  <si>
    <t xml:space="preserve">Speaks to the enterprise narrative</t>
  </si>
  <si>
    <t xml:space="preserve">Regulatory calendar</t>
  </si>
  <si>
    <t xml:space="preserve">One-page calendar: EU AI Act Dec 2027, Colorado Jan 2027, MAS final guidelines, HKMA Sep 2026, SR 26-2 RFI.</t>
  </si>
  <si>
    <t xml:space="preserve">S4 intelligence (Beer)</t>
  </si>
  <si>
    <t xml:space="preserve">F. Verify before use (facts that conflicted or could not be confirmed)</t>
  </si>
  <si>
    <t xml:space="preserve">Status</t>
  </si>
  <si>
    <t xml:space="preserve">Services FY2025 revenue basis</t>
  </si>
  <si>
    <t xml:space="preserve">$21.3B / RoTCE 28.6% (press release) vs $22.6B / 24.6% (Investor Day, likely managed basis). Workbook uses $21.3B.</t>
  </si>
  <si>
    <t xml:space="preserve">Agent Assist scale</t>
  </si>
  <si>
    <t xml:space="preserve">1,200 agents live (American Banker, Apr 2026) vs 6,000 agents / 72 countries (Investor Day target). Workbook labels 6,000 as target.</t>
  </si>
  <si>
    <t xml:space="preserve">Business-line leadership</t>
  </si>
  <si>
    <t xml:space="preserve">Confirmed: Shahmir Khaliq (Services), Debopama Sen (Payments), Chris Cox (Investor Services, from Mar 2025). Not confirmed for 2026: head of Trade &amp; Working Capital, head of Issuer Services, Stephen Randall (LMS). Do not name them in the memo unless he confirms.</t>
  </si>
  <si>
    <t xml:space="preserve">Firmwide AI organization</t>
  </si>
  <si>
    <t xml:space="preserve">David Griffiths became Group Head of AI (May 2026); a job posting describes merged Head-of-AI/CTO responsibilities — confirm current structure with him.</t>
  </si>
  <si>
    <t xml:space="preserve">Evident sub-pillar ranks</t>
  </si>
  <si>
    <t xml:space="preserve">Citi #12 headline corroborated; sub-pillar ranks (Talent 5th, Leadership 26th, Transparency 30th) from a single fetch.</t>
  </si>
  <si>
    <t xml:space="preserve">MAS final AI risk guidelines</t>
  </si>
  <si>
    <t xml:space="preserve">Consultation closed Jan 2026; final issuance not confirmed as of 22 Sep 2026.</t>
  </si>
  <si>
    <t xml:space="preserve">Fee leakage rate</t>
  </si>
  <si>
    <t xml:space="preserve">1–3% is an industry rule of thumb, not a Citi figure.</t>
  </si>
  <si>
    <t xml:space="preserve">Sources</t>
  </si>
  <si>
    <t xml:space="preserve">Primary sources preferred; secondary sources marked. Retrieved 22 Sep 2026.</t>
  </si>
  <si>
    <t xml:space="preserve">URL</t>
  </si>
  <si>
    <t xml:space="preserve">Citi Q2 2026 results (press release / 8-K)</t>
  </si>
  <si>
    <t xml:space="preserve">https://www.sec.gov/Archives/edgar/data/831001/000110465926083383/c-20260714xex99d1.htm</t>
  </si>
  <si>
    <t xml:space="preserve">Citi FY2025 / Q4 2025 results</t>
  </si>
  <si>
    <t xml:space="preserve">https://www.citigroup.com/rcs/citigpa/storage/public/Earnings/Q42025/2025prqtr4rslt.pdf</t>
  </si>
  <si>
    <t xml:space="preserve">Citi Investor Day 2026 — Services presentation and transcript</t>
  </si>
  <si>
    <t xml:space="preserve">https://www.citigroup.com/rcs/citigpa/storage/public/investor-day/citi-ID26-services-presentation.pdf ; https://www.citigroup.com/rcs/citigpa/storage/public/investor-day/citi-ID26-services-presentation-transcript.pdf</t>
  </si>
  <si>
    <t xml:space="preserve">Citi 2025 Annual Report</t>
  </si>
  <si>
    <t xml:space="preserve">https://www.citigroup.com/rcs/citigpa/storage/public/Annual_Report/2025/citi-2025-annual-report.pdf</t>
  </si>
  <si>
    <t xml:space="preserve">Citi Q2 2026 earnings call transcript</t>
  </si>
  <si>
    <t xml:space="preserve">https://www.fool.com/earnings/call-transcripts/2026/07/21/citi-c-q2-2026-earnings-call-transcript/</t>
  </si>
  <si>
    <t xml:space="preserve">Khaliq at UBS Financial Services conference (Feb 2026)</t>
  </si>
  <si>
    <t xml:space="preserve">https://www.investing.com/news/transcripts/citigroup-at-ubs-financial-services-strategic-growth-and-innovation-93CH-4498521</t>
  </si>
  <si>
    <t xml:space="preserve">American Banker — four ways AI is making Citi's Services unit more efficient (Apr 2026)</t>
  </si>
  <si>
    <t xml:space="preserve">https://www.americanbanker.com/news/four-ways-ai-is-making-citis-services-unit-more-efficient</t>
  </si>
  <si>
    <t xml:space="preserve">Payments Dive — Citi Payments / Debopama Sen (Mar 2026)</t>
  </si>
  <si>
    <t xml:space="preserve">https://www.paymentsdive.com/news/citi-payments-advances-debopama-sen-real-time-stablecoin-fednow-agentic-ai/815818/</t>
  </si>
  <si>
    <t xml:space="preserve">Citi Stylus Workspaces agentic pilot (Sep 2025)</t>
  </si>
  <si>
    <t xml:space="preserve">https://www.citigroup.com/global/news/press-release/2025/citi-unveils-citi-stylus-workspaces-agentic-ai-turbocharging-productivity</t>
  </si>
  <si>
    <t xml:space="preserve">American Banker — Citi agentic AI to 40,000 developers (Jul 2025)</t>
  </si>
  <si>
    <t xml:space="preserve">https://www.americanbanker.com/news/citi-is-rolling-out-agentic-ai-to-its-40-000-developers</t>
  </si>
  <si>
    <t xml:space="preserve">Banking Dive — Citi (Tim Ryan) at Money20/20 (Oct 2025)</t>
  </si>
  <si>
    <t xml:space="preserve">https://www.bankingdive.com/news/citi-ryan-ai-banking-technology-innovation-money2020/804138/</t>
  </si>
  <si>
    <t xml:space="preserve">FStech — Citi appoints Group Head of AI (May 2026)</t>
  </si>
  <si>
    <t xml:space="preserve">https://www.fstech.co.uk/fst/Citigroup_Appoints_Group_Head_Of_AI.php</t>
  </si>
  <si>
    <t xml:space="preserve">eFinancialCareers — Citi Head of AI departure (Apr 2026)</t>
  </si>
  <si>
    <t xml:space="preserve">https://www.efinancialcareers.com/news/citi-s-global-head-of-ai-joined-in-september-and-has-just-gone-again</t>
  </si>
  <si>
    <t xml:space="preserve">Citi Sky (Wealth) press release (Apr 2026)</t>
  </si>
  <si>
    <t xml:space="preserve">https://www.citigroup.com/global/news/press-release/2026/citi-wealth-unveils-citi-sky-ai-powered-member-google-cloud-deepmind-technologies</t>
  </si>
  <si>
    <t xml:space="preserve">American Banker — Citi exits 2024 consent-order amendment (Dec 2025)</t>
  </si>
  <si>
    <t xml:space="preserve">https://www.americanbanker.com/news/citi-exits-consent-order-touts-progress-on-risk-management</t>
  </si>
  <si>
    <t xml:space="preserve">Citi AI Risk &amp; Governance – Trade Finance SVP posting (Aug 2026)</t>
  </si>
  <si>
    <t xml:space="preserve">https://jobs.citi.com/job/new-york/ai-risk-and-governance-trade-finance-senior-vice-president/287/99156562144</t>
  </si>
  <si>
    <t xml:space="preserve">Citi crypto custody / Custody+ (CNBC Oct 2025; CoinCentral Aug 2026)</t>
  </si>
  <si>
    <t xml:space="preserve">https://www.cnbc.com/2025/10/13/citi-aims-to-launch-crypto-custody-in-2026-exploring-stablecoin.html ; https://coincentral.com/citi-unveils-custody-with-bitcoin-and-24-7-settlement-push/</t>
  </si>
  <si>
    <t xml:space="preserve">Swift blockchain ledger pilot with 17 banks incl. Citi (Jul 2026)</t>
  </si>
  <si>
    <t xml:space="preserve">https://www.swift.com/news-events/press-releases/swifts-blockchain-ledger-ready-use-17-banks-set-pioneer-tokenised-cross-border-payments-trusted-global-infrastructure</t>
  </si>
  <si>
    <t xml:space="preserve">JPMorgan — Dimon on AI paying for itself (Oct 2025)</t>
  </si>
  <si>
    <t xml:space="preserve">https://finance.yahoo.com/news/jamie-dimon-declares-jpmorgan-chases-173130430.html</t>
  </si>
  <si>
    <t xml:space="preserve">JPMorgan Payments — agentic AI in corporate treasury (2026)</t>
  </si>
  <si>
    <t xml:space="preserve">https://www.jpmorgan.com/payments/newsroom/agentic-ai-corporate-cash-treasury-management ; https://www.jpmorgan.com/payments/newsroom/agentic-ai-payments-takeaways-2026</t>
  </si>
  <si>
    <t xml:space="preserve">JPMorgan 2026 company update transcript</t>
  </si>
  <si>
    <t xml:space="preserve">https://www.jpmorganchase.com/content/dam/jpmc/jpmorgan-chase-and-co/investor-relations/documents/2026-company-updates/company-update-full-event-transcript.pdf</t>
  </si>
  <si>
    <t xml:space="preserve">BNY Eliza / digital employees (Mar 2026; OpenAI)</t>
  </si>
  <si>
    <t xml:space="preserve">https://www.tbpndigest.com/story/2026-03-23/bny-mellon-ceo-robin-vince-on-eliza-their-internal-ai-platform-powering-125-solutions-and-digital-employee-agents ; https://openai.com/index/bny/</t>
  </si>
  <si>
    <t xml:space="preserve">Goldman Sachs AI assistant (Jun 2025); OneGS 3.0 (Oct 2025)</t>
  </si>
  <si>
    <t xml:space="preserve">https://fortune.com/2025/06/24/goldman-sachs-internal-ai-assistant ; https://www.tekedia.com/goldman-sachs-launches-onegs-3-0-for-ai-driven-operational-efficiency/</t>
  </si>
  <si>
    <t xml:space="preserve">Bank of America — CashPro Forecasting (Dec 2025); client interactions (Mar 2026); EricaAssist (Jul 2026)</t>
  </si>
  <si>
    <t xml:space="preserve">https://newsroom.bankofamerica.com/content/newsroom/press-releases/2025/12/bofa-s-ai-solution-cashpro-forecasting--helps-clients-navigate-y.html ; https://newsroom.bankofamerica.com/content/newsroom/press-releases/2026/03/bofa-ai-and-digital-innovations-fuel-30-billion-client-interacti.html</t>
  </si>
  <si>
    <t xml:space="preserve">HSBC — Singapore AI CoE, agentic treasury (Jul 2026); EPAA working group; Microsoft/ANZ/HSBC/Lloyds trade-finance PoC (Apr 2026)</t>
  </si>
  <si>
    <t xml:space="preserve">https://www.techtimes.com/articles/321767/20260728/hsbc-commits-proprietary-ai-singapore-agentic-treasury-goes-mainstream.htm ; https://www.theasianbanker.com/press-releases/epaa-and-hsbc-launch-working-group-on-ai-agent-payment-liability ; https://www.microsoft.com/en-us/microsoft-cloud/blog/financial-services/2026/04/20/reimagining-trade-finance-with-ai-a-collaborative-proof-of-concept-from-microsoft-anz-hsbc-and-lloyds/</t>
  </si>
  <si>
    <t xml:space="preserve">Wells Fargo — agentic AI bank-wide (Aug 2025); digital milestones (Mar 2026)</t>
  </si>
  <si>
    <t xml:space="preserve">https://www.americanbanker.com/news/wells-fargo-plans-to-unleash-googles-agentic-ai-bank-wide ; https://newsroom.wf.com/news-releases/news-details/2026/Wells-Fargo-Reaches-Major-Digital-Milestones/default.aspx</t>
  </si>
  <si>
    <t xml:space="preserve">Standard Chartered — AI Factory and SC GPT (2026)</t>
  </si>
  <si>
    <t xml:space="preserve">https://www.theasianbanker.com/updates-and-articles/standard-chartered-positions-ai-factory-and-sc-gpt-as-enterprise-reuse-engines</t>
  </si>
  <si>
    <t xml:space="preserve">DBS — S$1B AI value; agentic credit memos (Aug 2026)</t>
  </si>
  <si>
    <t xml:space="preserve">https://www.forrester.com/blogs/dbs-banks-billion-dollar-ai-dream-realized ; https://www.dbs.com/newsroom/DBS_scales_agentic_AI_to_transform_way_of_working_for_corporate_bankers_freeing_up_time_for_more_strategic_client_engagements</t>
  </si>
  <si>
    <t xml:space="preserve">Deutsche Bank / Google Cloud Gemini Enterprise for FS (Aug 2026)</t>
  </si>
  <si>
    <t xml:space="preserve">https://www.googlecloudpresscorner.com/2026-08-25-Google-Cloud-Launches-Gemini-Enterprise-for-Financial-Services</t>
  </si>
  <si>
    <t xml:space="preserve">Stripe Sessions 2026; Adyen Agentic; Kyriba TAI; HighRadius; SAP Taulia</t>
  </si>
  <si>
    <t xml:space="preserve">https://stripe.com/blog/everything-we-announced-at-sessions-2026 ; https://www.adyen.com/press-and-media/adyen-agentic ; https://www.kyriba.com/blog/agentic-ai-tai-launch/ ; https://www.businesswire.com/news/home/20250226984748/en/HighRadius-Announces-a-2027-Goal-of-Releasing-a-Fully-Autonomous-Finance-Platform-at-Radiance ; https://taulia.com/company/news/press-releases/sap-taulia-announces-ai-powered-working-capital-innovations-at-sap-sapphire/</t>
  </si>
  <si>
    <t xml:space="preserve">Mastercard Agent Pay for Machines (Jun 2026); Visa Intelligent Commerce live (Jul 2026); Google AP2</t>
  </si>
  <si>
    <t xml:space="preserve">https://investor.mastercard.com/investor-news/investor-news-details/2026/Mastercard-Launches-Agent-Pay-for-Machines-to-Unlock-Super-Fast-Always-On-Payments/default.aspx ; https://theindustryspread.com/visa-agentic-payments-live-30-european-issuers/ ; https://cloud.google.com/blog/products/ai-machine-learning/announcing-agents-to-payments-ap2-protocol</t>
  </si>
  <si>
    <t xml:space="preserve">Swift AI fraud service (Jan 2025); federated learning results (Sep 2025)</t>
  </si>
  <si>
    <t xml:space="preserve">https://www.swift.com/news-events/press-releases/swift-launch-ai-powered-fraud-defence-enhance-cross-border-payments ; https://www.swift.com/news-events/press-releases/swift-ai-innovation-creates-blueprint-banks-stop-fraud-faster-through-cross-border-collaboration</t>
  </si>
  <si>
    <t xml:space="preserve">IMF Note — How agentic AI will reshape payments (Apr 2026)</t>
  </si>
  <si>
    <t xml:space="preserve">https://www.imf.org/en/publications/imf-notes/issues/2026/04/22/how-agentic-ai-will-reshape-payments-575560</t>
  </si>
  <si>
    <t xml:space="preserve">McKinsey State of AI (2025 and 2026 editions)</t>
  </si>
  <si>
    <t xml:space="preserve">https://www.mckinsey.com/capabilities/quantumblack/our-insights/the-state-of-ai</t>
  </si>
  <si>
    <t xml:space="preserve">BCG — Widening AI Value Gap (Sep 2025)</t>
  </si>
  <si>
    <t xml:space="preserve">https://www.prnewswire.com/news-releases/ai-leaders-outpace-laggards-with-double-the-revenue-growth-and-40-more-cost-savings-302570218.html</t>
  </si>
  <si>
    <t xml:space="preserve">MIT NANDA GenAI Divide (Aug 2025) — via Forbes</t>
  </si>
  <si>
    <t xml:space="preserve">https://www.forbes.com/sites/jasonsnyder/2025/08/26/mit-finds-95-of-genai-pilots-fail-because-companies-avoid-friction/</t>
  </si>
  <si>
    <t xml:space="preserve">Gartner — agentic AI project cancellations (Jun 2025)</t>
  </si>
  <si>
    <t xml:space="preserve">https://www.gartner.com/en/newsroom/press-releases/2025-06-25-gartner-predicts-over-40-percent-of-agentic-ai-projects-will-be-canceled-by-end-of-2027</t>
  </si>
  <si>
    <t xml:space="preserve">Deloitte State of AI in the Enterprise 2026</t>
  </si>
  <si>
    <t xml:space="preserve">https://www.deloitte.com/us/en/about/press-room/state-of-ai-report-2026.html</t>
  </si>
  <si>
    <t xml:space="preserve">Evident AI Index 2025 (banks)</t>
  </si>
  <si>
    <t xml:space="preserve">https://evidentinsights.com/ai-index/ ; https://evidentinsights.com/bankingbrief/heres-the-2025-evident-ai-index/</t>
  </si>
  <si>
    <t xml:space="preserve">Revised interagency MRM guidance SR 26-2 / OCC 2026-13 (Apr 2026) — Sullivan &amp; Cromwell memo; OCC bulletin</t>
  </si>
  <si>
    <t xml:space="preserve">https://www.sullcrom.com/insights/memo/2026/April/OCC-Fed-FDIC-Issue-Revised-Guidance-Model-Risk-Management ; https://www.occ.gov/news-issuances/bulletins/2026/bulletin-2026-13.html</t>
  </si>
  <si>
    <t xml:space="preserve">Fed Vice Chair Bowman speech (May 2026)</t>
  </si>
  <si>
    <t xml:space="preserve">https://www.federalreserve.gov/newsevents/speech/bowman20260501a.htm</t>
  </si>
  <si>
    <t xml:space="preserve">Colorado ADMT Act (May 2026) — Skadden</t>
  </si>
  <si>
    <t xml:space="preserve">https://www.skadden.com/insights/publications/2026/06/colorado-repeals-and-replaces-its-ai-act</t>
  </si>
  <si>
    <t xml:space="preserve">NYDFS industry letters (Oct 2024; May 2026)</t>
  </si>
  <si>
    <t xml:space="preserve">https://www.dfs.ny.gov/industry-guidance/industry-letters/il20241016-cyber-risks-ai-and-strategies-combat-related-risks ; https://www.dfs.ny.gov/industry-guidance/industry-letters/20260521-heightened-cybersecurity-risks-assoc-with-frontier-ai-models</t>
  </si>
  <si>
    <t xml:space="preserve">EU AI Act Digital Omnibus (May 2026) — Gibson Dunn</t>
  </si>
  <si>
    <t xml:space="preserve">https://www.gibsondunn.com/eu-ai-act-omnibus-agreement-postponed-high-risk-deadlines-and-other-key-changes/</t>
  </si>
  <si>
    <t xml:space="preserve">UK — regulators' approach to AI 2026; HM Treasury FS AI Adoption Plan (Jul 2026)</t>
  </si>
  <si>
    <t xml:space="preserve">https://www.globalpolicywatch.com/2026/04/uk-financial-services-regulators-approach-to-artificial-intelligence-in-2026/ ; https://www.gov.uk/government/publications/ai-adoption-plan-financial-services/financial-services-ai-adoption-plan</t>
  </si>
  <si>
    <t xml:space="preserve">MAS — AI risk management guidelines consultation (Nov 2025); toolkit (Mar 2026)</t>
  </si>
  <si>
    <t xml:space="preserve">https://www.mas.gov.sg/news/media-releases/2025/mas-guidelines-for-artificial-intelligence-risk-management ; https://www.mas.gov.sg/news/media-releases/2026/mas-partners-industry-to-develop-ai-risk-management-toolkit-for-the-financial-sector</t>
  </si>
  <si>
    <t xml:space="preserve">HKMA — GenA.I. Sandbox++ and digital transformation circular (Mar 2026)</t>
  </si>
  <si>
    <t xml:space="preserve">https://www.hkma.gov.hk/eng/news-and-media/press-releases/2026/03/20260305-3/</t>
  </si>
  <si>
    <t xml:space="preserve">NIST AI RMF and GenAI profile</t>
  </si>
  <si>
    <t xml:space="preserve">https://www.nist.gov/publications/artificial-intelligence-risk-management-framework-generative-artificial-intelligence</t>
  </si>
  <si>
    <t xml:space="preserve">Job posting — AI Product Strategy, Global Services – Director (Citi via Built In)</t>
  </si>
  <si>
    <t xml:space="preserve">https://builtin.com/job/ai-product-strategy-global-services-director/10653570</t>
  </si>
</sst>
</file>

<file path=xl/styles.xml><?xml version="1.0" encoding="utf-8"?>
<styleSheet xmlns="http://schemas.openxmlformats.org/spreadsheetml/2006/main">
  <numFmts count="12">
    <numFmt numFmtId="164" formatCode="General"/>
    <numFmt numFmtId="165" formatCode="0.00"/>
    <numFmt numFmtId="166" formatCode="0"/>
    <numFmt numFmtId="167" formatCode="0.0"/>
    <numFmt numFmtId="168" formatCode="0.000"/>
    <numFmt numFmtId="169" formatCode="0%"/>
    <numFmt numFmtId="170" formatCode="#,##0"/>
    <numFmt numFmtId="171" formatCode="#,##0.000"/>
    <numFmt numFmtId="172" formatCode="0.0%"/>
    <numFmt numFmtId="173" formatCode="0.00%"/>
    <numFmt numFmtId="174" formatCode="0.0\x"/>
    <numFmt numFmtId="175" formatCode="#,##0;\(#,##0\);\-"/>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6C757D"/>
      <name val="Arial"/>
      <family val="0"/>
      <charset val="1"/>
    </font>
    <font>
      <b val="true"/>
      <sz val="11"/>
      <color rgb="FF1F3864"/>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i val="true"/>
      <sz val="9"/>
      <color rgb="FF6C757D"/>
      <name val="Arial"/>
      <family val="0"/>
      <charset val="1"/>
    </font>
    <font>
      <b val="true"/>
      <sz val="10"/>
      <color rgb="FF1F3864"/>
      <name val="Arial"/>
      <family val="0"/>
      <charset val="1"/>
    </font>
    <font>
      <b val="true"/>
      <sz val="9"/>
      <color rgb="FF000000"/>
      <name val="Arial"/>
      <family val="0"/>
      <charset val="1"/>
    </font>
    <font>
      <b val="true"/>
      <sz val="9"/>
      <color rgb="FFFFFFFF"/>
      <name val="Arial"/>
      <family val="0"/>
      <charset val="1"/>
    </font>
    <font>
      <sz val="9"/>
      <color rgb="FF000000"/>
      <name val="Arial"/>
      <family val="0"/>
      <charset val="1"/>
    </font>
    <font>
      <sz val="9"/>
      <color rgb="FF0000FF"/>
      <name val="Arial"/>
      <family val="0"/>
      <charset val="1"/>
    </font>
    <font>
      <sz val="8"/>
      <color rgb="FF6C757D"/>
      <name val="Arial"/>
      <family val="0"/>
      <charset val="1"/>
    </font>
    <font>
      <sz val="10"/>
      <name val="Arial"/>
      <family val="2"/>
    </font>
    <font>
      <sz val="10"/>
      <color rgb="FF008000"/>
      <name val="Arial"/>
      <family val="0"/>
      <charset val="1"/>
    </font>
    <font>
      <b val="true"/>
      <sz val="10"/>
      <color rgb="FF008000"/>
      <name val="Arial"/>
      <family val="0"/>
      <charset val="1"/>
    </font>
    <font>
      <sz val="9"/>
      <color rgb="FF6C757D"/>
      <name val="Arial"/>
      <family val="0"/>
      <charset val="1"/>
    </font>
  </fonts>
  <fills count="5">
    <fill>
      <patternFill patternType="none"/>
    </fill>
    <fill>
      <patternFill patternType="gray125"/>
    </fill>
    <fill>
      <patternFill patternType="solid">
        <fgColor rgb="FFD9E1F2"/>
        <bgColor rgb="FFE2EFDA"/>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6" fontId="16" fillId="4" borderId="1" xfId="0" applyFont="true" applyBorder="true" applyAlignment="true" applyProtection="false">
      <alignment horizontal="center" vertical="top" textRotation="0" wrapText="true" indent="0" shrinkToFit="false"/>
      <protection locked="true" hidden="false"/>
    </xf>
    <xf numFmtId="167" fontId="10" fillId="0" borderId="1" xfId="0" applyFont="true" applyBorder="true" applyAlignment="true" applyProtection="false">
      <alignment horizontal="center" vertical="top" textRotation="0" wrapText="true" indent="0" shrinkToFit="false"/>
      <protection locked="true" hidden="false"/>
    </xf>
    <xf numFmtId="168" fontId="17"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9" fillId="0" borderId="1" xfId="0" applyFont="true" applyBorder="true" applyAlignment="true" applyProtection="false">
      <alignment horizontal="center" vertical="top" textRotation="0" wrapText="true" indent="0" shrinkToFit="false"/>
      <protection locked="true" hidden="false"/>
    </xf>
    <xf numFmtId="167" fontId="1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67" fontId="20" fillId="0" borderId="1" xfId="0" applyFont="true" applyBorder="true" applyAlignment="true" applyProtection="false">
      <alignment horizontal="center" vertical="top" textRotation="0" wrapText="true" indent="0" shrinkToFit="false"/>
      <protection locked="true" hidden="false"/>
    </xf>
    <xf numFmtId="169" fontId="8" fillId="0" borderId="1" xfId="0" applyFont="true" applyBorder="true" applyAlignment="true" applyProtection="false">
      <alignment horizontal="center" vertical="top" textRotation="0" wrapText="true" indent="0" shrinkToFit="false"/>
      <protection locked="true" hidden="false"/>
    </xf>
    <xf numFmtId="169" fontId="9" fillId="4"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center"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70" fontId="9" fillId="4"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71" fontId="9" fillId="4" borderId="1" xfId="0" applyFont="true" applyBorder="true" applyAlignment="true" applyProtection="false">
      <alignment horizontal="center" vertical="center" textRotation="0" wrapText="false" indent="0" shrinkToFit="false"/>
      <protection locked="true" hidden="false"/>
    </xf>
    <xf numFmtId="172" fontId="9"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73" fontId="9" fillId="4" borderId="1" xfId="0" applyFont="true" applyBorder="true" applyAlignment="true" applyProtection="false">
      <alignment horizontal="center" vertical="center" textRotation="0" wrapText="false" indent="0" shrinkToFit="false"/>
      <protection locked="true" hidden="false"/>
    </xf>
    <xf numFmtId="170" fontId="8" fillId="0" borderId="1" xfId="0" applyFont="true" applyBorder="true" applyAlignment="true" applyProtection="false">
      <alignment horizontal="right" vertical="center" textRotation="0" wrapText="false" indent="0" shrinkToFit="false"/>
      <protection locked="true" hidden="false"/>
    </xf>
    <xf numFmtId="170" fontId="10" fillId="0"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true" applyProtection="false">
      <alignment horizontal="right" vertical="center" textRotation="0" wrapText="false" indent="0" shrinkToFit="false"/>
      <protection locked="true" hidden="false"/>
    </xf>
    <xf numFmtId="174" fontId="9" fillId="4" borderId="1" xfId="0" applyFont="true" applyBorder="true" applyAlignment="true" applyProtection="false">
      <alignment horizontal="center" vertical="center" textRotation="0" wrapText="false" indent="0" shrinkToFit="false"/>
      <protection locked="true" hidden="false"/>
    </xf>
    <xf numFmtId="175" fontId="8" fillId="0"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63BE7B"/>
          <bgColor rgb="FF000000"/>
        </patternFill>
      </fill>
    </dxf>
    <dxf>
      <fill>
        <patternFill patternType="solid">
          <fgColor rgb="FF73C37C"/>
          <bgColor rgb="FF000000"/>
        </patternFill>
      </fill>
    </dxf>
    <dxf>
      <fill>
        <patternFill patternType="solid">
          <fgColor rgb="FF7BC57D"/>
          <bgColor rgb="FF000000"/>
        </patternFill>
      </fill>
    </dxf>
    <dxf>
      <fill>
        <patternFill patternType="solid">
          <fgColor rgb="FF83C77D"/>
          <bgColor rgb="FF000000"/>
        </patternFill>
      </fill>
    </dxf>
    <dxf>
      <fill>
        <patternFill patternType="solid">
          <fgColor rgb="FF8ACA7E"/>
          <bgColor rgb="FF000000"/>
        </patternFill>
      </fill>
    </dxf>
    <dxf>
      <fill>
        <patternFill patternType="solid">
          <fgColor rgb="FF92CC7E"/>
          <bgColor rgb="FF000000"/>
        </patternFill>
      </fill>
    </dxf>
    <dxf>
      <fill>
        <patternFill patternType="solid">
          <fgColor rgb="FF9ACE7F"/>
          <bgColor rgb="FF000000"/>
        </patternFill>
      </fill>
    </dxf>
    <dxf>
      <fill>
        <patternFill patternType="solid">
          <fgColor rgb="FFAAD380"/>
          <bgColor rgb="FF000000"/>
        </patternFill>
      </fill>
    </dxf>
    <dxf>
      <fill>
        <patternFill patternType="solid">
          <fgColor rgb="FFB1D580"/>
          <bgColor rgb="FF000000"/>
        </patternFill>
      </fill>
    </dxf>
    <dxf>
      <fill>
        <patternFill patternType="solid">
          <fgColor rgb="FFC9DC81"/>
          <bgColor rgb="FF000000"/>
        </patternFill>
      </fill>
    </dxf>
    <dxf>
      <fill>
        <patternFill patternType="solid">
          <fgColor rgb="FFE0E283"/>
          <bgColor rgb="FF000000"/>
        </patternFill>
      </fill>
    </dxf>
    <dxf>
      <fill>
        <patternFill patternType="solid">
          <fgColor rgb="FFFFEB84"/>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6C757D"/>
          <bgColor rgb="FF000000"/>
        </patternFill>
      </fill>
    </dxf>
    <dxf>
      <fill>
        <patternFill>
          <bgColor rgb="FFE2EFDA"/>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BF8F00"/>
      <rgbColor rgb="FFC55A11"/>
      <rgbColor rgb="FF6C757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40"/>
  </cols>
  <sheetData>
    <row r="1" customFormat="false" ht="24" hidden="false" customHeight="true" outlineLevel="0" collapsed="false">
      <c r="A1" s="1" t="s">
        <v>0</v>
      </c>
    </row>
    <row r="2" customFormat="false" ht="30" hidden="false" customHeight="true" outlineLevel="0" collapsed="false">
      <c r="A2" s="2" t="s">
        <v>1</v>
      </c>
      <c r="B2" s="2"/>
      <c r="C2" s="2"/>
    </row>
    <row r="4" customFormat="false" ht="19.5" hidden="false" customHeight="true" outlineLevel="0" collapsed="false">
      <c r="A4" s="3" t="s">
        <v>2</v>
      </c>
      <c r="B4" s="4"/>
      <c r="C4" s="4"/>
    </row>
    <row r="5" customFormat="false" ht="30" hidden="false" customHeight="true" outlineLevel="0" collapsed="false">
      <c r="A5" s="5" t="s">
        <v>3</v>
      </c>
      <c r="B5" s="5" t="s">
        <v>4</v>
      </c>
      <c r="C5" s="5" t="s">
        <v>5</v>
      </c>
    </row>
    <row r="6" customFormat="false" ht="54" hidden="false" customHeight="true" outlineLevel="0" collapsed="false">
      <c r="A6" s="6" t="s">
        <v>6</v>
      </c>
      <c r="B6" s="6" t="s">
        <v>7</v>
      </c>
      <c r="C6" s="6"/>
    </row>
    <row r="7" customFormat="false" ht="54" hidden="false" customHeight="true" outlineLevel="0" collapsed="false">
      <c r="A7" s="6" t="s">
        <v>8</v>
      </c>
      <c r="B7" s="6" t="s">
        <v>9</v>
      </c>
      <c r="C7" s="6"/>
    </row>
    <row r="8" customFormat="false" ht="40.5" hidden="false" customHeight="true" outlineLevel="0" collapsed="false">
      <c r="A8" s="6" t="s">
        <v>10</v>
      </c>
      <c r="B8" s="6" t="s">
        <v>11</v>
      </c>
      <c r="C8" s="6"/>
    </row>
    <row r="9" customFormat="false" ht="54" hidden="false" customHeight="true" outlineLevel="0" collapsed="false">
      <c r="A9" s="6" t="s">
        <v>12</v>
      </c>
      <c r="B9" s="6" t="s">
        <v>13</v>
      </c>
      <c r="C9" s="6"/>
    </row>
    <row r="11" customFormat="false" ht="19.5" hidden="false" customHeight="true" outlineLevel="0" collapsed="false">
      <c r="A11" s="3" t="s">
        <v>14</v>
      </c>
      <c r="B11" s="4"/>
      <c r="C11" s="4"/>
    </row>
    <row r="12" customFormat="false" ht="30" hidden="false" customHeight="true" outlineLevel="0" collapsed="false">
      <c r="A12" s="5" t="s">
        <v>15</v>
      </c>
      <c r="B12" s="5" t="s">
        <v>16</v>
      </c>
      <c r="C12" s="5" t="s">
        <v>17</v>
      </c>
    </row>
    <row r="13" customFormat="false" ht="27.75" hidden="false" customHeight="true" outlineLevel="0" collapsed="false">
      <c r="A13" s="6" t="s">
        <v>18</v>
      </c>
      <c r="B13" s="6" t="s">
        <v>19</v>
      </c>
      <c r="C13" s="6" t="s">
        <v>20</v>
      </c>
    </row>
    <row r="14" customFormat="false" ht="27.75" hidden="false" customHeight="true" outlineLevel="0" collapsed="false">
      <c r="A14" s="6" t="s">
        <v>21</v>
      </c>
      <c r="B14" s="6" t="s">
        <v>22</v>
      </c>
      <c r="C14" s="6" t="s">
        <v>23</v>
      </c>
    </row>
    <row r="15" customFormat="false" ht="27.75" hidden="false" customHeight="true" outlineLevel="0" collapsed="false">
      <c r="A15" s="6" t="s">
        <v>24</v>
      </c>
      <c r="B15" s="6" t="s">
        <v>25</v>
      </c>
      <c r="C15" s="6" t="s">
        <v>26</v>
      </c>
    </row>
    <row r="16" customFormat="false" ht="27.75" hidden="false" customHeight="true" outlineLevel="0" collapsed="false">
      <c r="A16" s="6" t="s">
        <v>27</v>
      </c>
      <c r="B16" s="6" t="s">
        <v>28</v>
      </c>
      <c r="C16" s="6" t="s">
        <v>29</v>
      </c>
    </row>
    <row r="17" customFormat="false" ht="27.75" hidden="false" customHeight="true" outlineLevel="0" collapsed="false">
      <c r="A17" s="6" t="s">
        <v>30</v>
      </c>
      <c r="B17" s="6" t="s">
        <v>31</v>
      </c>
      <c r="C17" s="6" t="s">
        <v>32</v>
      </c>
    </row>
    <row r="18" customFormat="false" ht="15" hidden="false" customHeight="true" outlineLevel="0" collapsed="false">
      <c r="A18" s="6" t="s">
        <v>33</v>
      </c>
      <c r="B18" s="6" t="s">
        <v>34</v>
      </c>
      <c r="C18" s="6" t="s">
        <v>35</v>
      </c>
    </row>
    <row r="19" customFormat="false" ht="27.75" hidden="false" customHeight="true" outlineLevel="0" collapsed="false">
      <c r="A19" s="6" t="s">
        <v>36</v>
      </c>
      <c r="B19" s="6" t="s">
        <v>37</v>
      </c>
      <c r="C19" s="6" t="s">
        <v>38</v>
      </c>
    </row>
    <row r="20" customFormat="false" ht="27.75" hidden="false" customHeight="true" outlineLevel="0" collapsed="false">
      <c r="A20" s="6" t="s">
        <v>39</v>
      </c>
      <c r="B20" s="6" t="s">
        <v>40</v>
      </c>
      <c r="C20" s="6" t="s">
        <v>41</v>
      </c>
    </row>
    <row r="21" customFormat="false" ht="27.75" hidden="false" customHeight="true" outlineLevel="0" collapsed="false">
      <c r="A21" s="6" t="s">
        <v>42</v>
      </c>
      <c r="B21" s="6" t="s">
        <v>43</v>
      </c>
      <c r="C21" s="6"/>
    </row>
    <row r="22" customFormat="false" ht="27.75" hidden="false" customHeight="true" outlineLevel="0" collapsed="false">
      <c r="A22" s="6" t="s">
        <v>44</v>
      </c>
      <c r="B22" s="6" t="s">
        <v>45</v>
      </c>
      <c r="C22" s="6" t="s">
        <v>32</v>
      </c>
    </row>
    <row r="23" customFormat="false" ht="27.75" hidden="false" customHeight="true" outlineLevel="0" collapsed="false">
      <c r="A23" s="6" t="s">
        <v>46</v>
      </c>
      <c r="B23" s="6" t="s">
        <v>47</v>
      </c>
      <c r="C23" s="6"/>
    </row>
    <row r="24" customFormat="false" ht="27.75" hidden="false" customHeight="true" outlineLevel="0" collapsed="false">
      <c r="A24" s="6" t="s">
        <v>48</v>
      </c>
      <c r="B24" s="6" t="s">
        <v>49</v>
      </c>
      <c r="C24" s="6" t="s">
        <v>50</v>
      </c>
    </row>
    <row r="25" customFormat="false" ht="27.75" hidden="false" customHeight="true" outlineLevel="0" collapsed="false">
      <c r="A25" s="6" t="s">
        <v>51</v>
      </c>
      <c r="B25" s="6" t="s">
        <v>52</v>
      </c>
      <c r="C25" s="6" t="s">
        <v>53</v>
      </c>
    </row>
    <row r="26" customFormat="false" ht="27.75" hidden="false" customHeight="true" outlineLevel="0" collapsed="false">
      <c r="A26" s="6" t="s">
        <v>54</v>
      </c>
      <c r="B26" s="6" t="s">
        <v>55</v>
      </c>
      <c r="C26" s="6" t="s">
        <v>56</v>
      </c>
    </row>
    <row r="27" customFormat="false" ht="15" hidden="false" customHeight="true" outlineLevel="0" collapsed="false">
      <c r="A27" s="6" t="s">
        <v>57</v>
      </c>
      <c r="B27" s="6" t="s">
        <v>58</v>
      </c>
      <c r="C27" s="6"/>
    </row>
    <row r="29" customFormat="false" ht="19.5" hidden="false" customHeight="true" outlineLevel="0" collapsed="false">
      <c r="A29" s="3" t="s">
        <v>59</v>
      </c>
      <c r="B29" s="4"/>
      <c r="C29" s="4"/>
    </row>
    <row r="30" customFormat="false" ht="30" hidden="false" customHeight="true" outlineLevel="0" collapsed="false">
      <c r="A30" s="5" t="s">
        <v>60</v>
      </c>
      <c r="B30" s="5" t="s">
        <v>61</v>
      </c>
      <c r="C30" s="5"/>
    </row>
    <row r="31" customFormat="false" ht="27.75" hidden="false" customHeight="true" outlineLevel="0" collapsed="false">
      <c r="A31" s="6" t="s">
        <v>62</v>
      </c>
      <c r="B31" s="6" t="s">
        <v>63</v>
      </c>
      <c r="C31" s="6"/>
    </row>
    <row r="32" customFormat="false" ht="15" hidden="false" customHeight="true" outlineLevel="0" collapsed="false">
      <c r="A32" s="6" t="s">
        <v>64</v>
      </c>
      <c r="B32" s="6" t="s">
        <v>65</v>
      </c>
      <c r="C32" s="6"/>
    </row>
    <row r="33" customFormat="false" ht="27.75" hidden="false" customHeight="true" outlineLevel="0" collapsed="false">
      <c r="A33" s="6" t="s">
        <v>66</v>
      </c>
      <c r="B33" s="6" t="s">
        <v>67</v>
      </c>
      <c r="C33" s="6"/>
    </row>
    <row r="34" customFormat="false" ht="27.75" hidden="false" customHeight="true" outlineLevel="0" collapsed="false">
      <c r="A34" s="6" t="s">
        <v>68</v>
      </c>
      <c r="B34" s="6" t="s">
        <v>69</v>
      </c>
      <c r="C34" s="6"/>
    </row>
    <row r="35" customFormat="false" ht="54" hidden="false" customHeight="true" outlineLevel="0" collapsed="false">
      <c r="A35" s="6" t="s">
        <v>70</v>
      </c>
      <c r="B35" s="6" t="s">
        <v>71</v>
      </c>
      <c r="C35" s="6"/>
    </row>
    <row r="36" customFormat="false" ht="27.75" hidden="false" customHeight="true" outlineLevel="0" collapsed="false">
      <c r="A36" s="6" t="s">
        <v>72</v>
      </c>
      <c r="B36" s="6" t="s">
        <v>73</v>
      </c>
      <c r="C36" s="6"/>
    </row>
  </sheetData>
  <mergeCells count="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30"/>
    <col collapsed="false" customWidth="true" hidden="false" outlineLevel="0" max="4" min="4" style="0" width="44"/>
    <col collapsed="false" customWidth="true" hidden="false" outlineLevel="0" max="6" min="5" style="0" width="30"/>
  </cols>
  <sheetData>
    <row r="1" customFormat="false" ht="24" hidden="false" customHeight="true" outlineLevel="0" collapsed="false">
      <c r="A1" s="1" t="s">
        <v>74</v>
      </c>
    </row>
    <row r="2" customFormat="false" ht="30" hidden="false" customHeight="true" outlineLevel="0" collapsed="false">
      <c r="A2" s="2" t="s">
        <v>75</v>
      </c>
      <c r="B2" s="2"/>
      <c r="C2" s="2"/>
      <c r="D2" s="2"/>
      <c r="E2" s="2"/>
      <c r="F2" s="2"/>
    </row>
    <row r="4" customFormat="false" ht="19.5" hidden="false" customHeight="true" outlineLevel="0" collapsed="false">
      <c r="A4" s="3" t="s">
        <v>76</v>
      </c>
      <c r="B4" s="4"/>
      <c r="C4" s="4"/>
      <c r="D4" s="4"/>
      <c r="E4" s="4"/>
      <c r="F4" s="4"/>
    </row>
    <row r="5" customFormat="false" ht="30" hidden="false" customHeight="true" outlineLevel="0" collapsed="false">
      <c r="A5" s="5" t="s">
        <v>77</v>
      </c>
      <c r="B5" s="5" t="s">
        <v>4</v>
      </c>
      <c r="C5" s="5"/>
      <c r="D5" s="5"/>
      <c r="E5" s="5"/>
      <c r="F5" s="5"/>
    </row>
    <row r="6" customFormat="false" ht="69" hidden="false" customHeight="true" outlineLevel="0" collapsed="false">
      <c r="A6" s="6" t="s">
        <v>78</v>
      </c>
      <c r="B6" s="6" t="s">
        <v>79</v>
      </c>
      <c r="C6" s="6"/>
      <c r="D6" s="6"/>
      <c r="E6" s="6"/>
      <c r="F6" s="6"/>
    </row>
    <row r="7" customFormat="false" ht="30" hidden="false" customHeight="true" outlineLevel="0" collapsed="false">
      <c r="A7" s="6" t="s">
        <v>10</v>
      </c>
      <c r="B7" s="6" t="s">
        <v>80</v>
      </c>
      <c r="C7" s="6"/>
      <c r="D7" s="6"/>
      <c r="E7" s="6"/>
      <c r="F7" s="6"/>
    </row>
    <row r="8" customFormat="false" ht="42.75" hidden="false" customHeight="true" outlineLevel="0" collapsed="false">
      <c r="A8" s="6" t="s">
        <v>12</v>
      </c>
      <c r="B8" s="6" t="s">
        <v>81</v>
      </c>
      <c r="C8" s="6"/>
      <c r="D8" s="6"/>
      <c r="E8" s="6"/>
      <c r="F8" s="6"/>
    </row>
    <row r="10" customFormat="false" ht="19.5" hidden="false" customHeight="true" outlineLevel="0" collapsed="false">
      <c r="A10" s="3" t="s">
        <v>82</v>
      </c>
      <c r="B10" s="4"/>
      <c r="C10" s="4"/>
      <c r="D10" s="4"/>
      <c r="E10" s="4"/>
      <c r="F10" s="4"/>
    </row>
    <row r="11" customFormat="false" ht="30" hidden="false" customHeight="true" outlineLevel="0" collapsed="false">
      <c r="A11" s="5" t="s">
        <v>83</v>
      </c>
      <c r="B11" s="5" t="s">
        <v>84</v>
      </c>
      <c r="C11" s="5" t="s">
        <v>85</v>
      </c>
      <c r="D11" s="5" t="s">
        <v>86</v>
      </c>
      <c r="E11" s="5" t="s">
        <v>87</v>
      </c>
      <c r="F11" s="5" t="s">
        <v>88</v>
      </c>
    </row>
    <row r="12" customFormat="false" ht="54" hidden="false" customHeight="true" outlineLevel="0" collapsed="false">
      <c r="A12" s="6" t="s">
        <v>89</v>
      </c>
      <c r="B12" s="6" t="s">
        <v>90</v>
      </c>
      <c r="C12" s="6" t="s">
        <v>91</v>
      </c>
      <c r="D12" s="6" t="s">
        <v>92</v>
      </c>
      <c r="E12" s="6" t="s">
        <v>93</v>
      </c>
      <c r="F12" s="6" t="s">
        <v>94</v>
      </c>
    </row>
    <row r="13" customFormat="false" ht="54" hidden="false" customHeight="true" outlineLevel="0" collapsed="false">
      <c r="A13" s="6" t="s">
        <v>95</v>
      </c>
      <c r="B13" s="6" t="s">
        <v>96</v>
      </c>
      <c r="C13" s="6" t="s">
        <v>97</v>
      </c>
      <c r="D13" s="6" t="s">
        <v>98</v>
      </c>
      <c r="E13" s="6" t="s">
        <v>99</v>
      </c>
      <c r="F13" s="6" t="s">
        <v>100</v>
      </c>
    </row>
    <row r="14" customFormat="false" ht="54" hidden="false" customHeight="true" outlineLevel="0" collapsed="false">
      <c r="A14" s="6" t="s">
        <v>101</v>
      </c>
      <c r="B14" s="6" t="s">
        <v>102</v>
      </c>
      <c r="C14" s="6" t="s">
        <v>103</v>
      </c>
      <c r="D14" s="6" t="s">
        <v>104</v>
      </c>
      <c r="E14" s="6" t="s">
        <v>105</v>
      </c>
      <c r="F14" s="6" t="s">
        <v>106</v>
      </c>
    </row>
    <row r="15" customFormat="false" ht="54" hidden="false" customHeight="true" outlineLevel="0" collapsed="false">
      <c r="A15" s="6" t="s">
        <v>107</v>
      </c>
      <c r="B15" s="6" t="s">
        <v>108</v>
      </c>
      <c r="C15" s="6" t="s">
        <v>109</v>
      </c>
      <c r="D15" s="6" t="s">
        <v>110</v>
      </c>
      <c r="E15" s="6" t="s">
        <v>111</v>
      </c>
      <c r="F15" s="6" t="s">
        <v>112</v>
      </c>
    </row>
    <row r="16" customFormat="false" ht="54" hidden="false" customHeight="true" outlineLevel="0" collapsed="false">
      <c r="A16" s="6" t="s">
        <v>113</v>
      </c>
      <c r="B16" s="6" t="s">
        <v>114</v>
      </c>
      <c r="C16" s="6" t="s">
        <v>115</v>
      </c>
      <c r="D16" s="6" t="s">
        <v>116</v>
      </c>
      <c r="E16" s="6" t="s">
        <v>117</v>
      </c>
      <c r="F16" s="6" t="s">
        <v>118</v>
      </c>
    </row>
    <row r="18" customFormat="false" ht="19.5" hidden="false" customHeight="true" outlineLevel="0" collapsed="false">
      <c r="A18" s="3" t="s">
        <v>119</v>
      </c>
      <c r="B18" s="4"/>
      <c r="C18" s="4"/>
      <c r="D18" s="4"/>
      <c r="E18" s="4"/>
      <c r="F18" s="4"/>
    </row>
    <row r="19" customFormat="false" ht="30" hidden="false" customHeight="true" outlineLevel="0" collapsed="false">
      <c r="A19" s="5" t="s">
        <v>120</v>
      </c>
      <c r="B19" s="5" t="s">
        <v>121</v>
      </c>
      <c r="C19" s="5" t="s">
        <v>122</v>
      </c>
      <c r="D19" s="5"/>
      <c r="E19" s="5"/>
      <c r="F19" s="5"/>
    </row>
    <row r="20" customFormat="false" ht="81.75" hidden="false" customHeight="true" outlineLevel="0" collapsed="false">
      <c r="A20" s="6" t="s">
        <v>123</v>
      </c>
      <c r="B20" s="6" t="s">
        <v>124</v>
      </c>
      <c r="C20" s="6" t="s">
        <v>125</v>
      </c>
      <c r="D20" s="6"/>
      <c r="E20" s="6"/>
      <c r="F20" s="6"/>
    </row>
    <row r="21" customFormat="false" ht="81.75" hidden="false" customHeight="true" outlineLevel="0" collapsed="false">
      <c r="A21" s="6" t="s">
        <v>126</v>
      </c>
      <c r="B21" s="6" t="s">
        <v>127</v>
      </c>
      <c r="C21" s="6" t="s">
        <v>128</v>
      </c>
      <c r="D21" s="6"/>
      <c r="E21" s="6"/>
      <c r="F21" s="6"/>
    </row>
    <row r="22" customFormat="false" ht="94.5" hidden="false" customHeight="true" outlineLevel="0" collapsed="false">
      <c r="A22" s="6" t="s">
        <v>129</v>
      </c>
      <c r="B22" s="6" t="s">
        <v>130</v>
      </c>
      <c r="C22" s="6" t="s">
        <v>131</v>
      </c>
      <c r="D22" s="6"/>
      <c r="E22" s="6"/>
      <c r="F22" s="6"/>
    </row>
    <row r="24" customFormat="false" ht="19.5" hidden="false" customHeight="true" outlineLevel="0" collapsed="false">
      <c r="A24" s="3" t="s">
        <v>132</v>
      </c>
      <c r="B24" s="4"/>
      <c r="C24" s="4"/>
      <c r="D24" s="4"/>
      <c r="E24" s="4"/>
      <c r="F24" s="4"/>
    </row>
    <row r="25" customFormat="false" ht="30" hidden="false" customHeight="true" outlineLevel="0" collapsed="false">
      <c r="A25" s="5" t="s">
        <v>133</v>
      </c>
      <c r="B25" s="5" t="s">
        <v>134</v>
      </c>
      <c r="C25" s="5"/>
      <c r="D25" s="5"/>
      <c r="E25" s="5"/>
      <c r="F25" s="5"/>
    </row>
    <row r="26" customFormat="false" ht="30" hidden="false" customHeight="true" outlineLevel="0" collapsed="false">
      <c r="A26" s="6" t="s">
        <v>135</v>
      </c>
      <c r="B26" s="6" t="s">
        <v>136</v>
      </c>
      <c r="C26" s="6"/>
      <c r="D26" s="6"/>
      <c r="E26" s="6"/>
      <c r="F26" s="6"/>
    </row>
    <row r="27" customFormat="false" ht="30" hidden="false" customHeight="true" outlineLevel="0" collapsed="false">
      <c r="A27" s="6" t="s">
        <v>137</v>
      </c>
      <c r="B27" s="6" t="s">
        <v>138</v>
      </c>
      <c r="C27" s="6"/>
      <c r="D27" s="6"/>
      <c r="E27" s="6"/>
      <c r="F27" s="6"/>
    </row>
    <row r="28" customFormat="false" ht="16.5" hidden="false" customHeight="true" outlineLevel="0" collapsed="false">
      <c r="A28" s="6" t="s">
        <v>139</v>
      </c>
      <c r="B28" s="6" t="s">
        <v>140</v>
      </c>
      <c r="C28" s="6"/>
      <c r="D28" s="6"/>
      <c r="E28" s="6"/>
      <c r="F28" s="6"/>
    </row>
    <row r="29" customFormat="false" ht="30" hidden="false" customHeight="true" outlineLevel="0" collapsed="false">
      <c r="A29" s="6" t="s">
        <v>141</v>
      </c>
      <c r="B29" s="6" t="s">
        <v>142</v>
      </c>
      <c r="C29" s="6"/>
      <c r="D29" s="6"/>
      <c r="E29" s="6"/>
      <c r="F29" s="6"/>
    </row>
    <row r="30" customFormat="false" ht="30" hidden="false" customHeight="true" outlineLevel="0" collapsed="false">
      <c r="A30" s="6" t="s">
        <v>143</v>
      </c>
      <c r="B30" s="6" t="s">
        <v>144</v>
      </c>
      <c r="C30" s="6"/>
      <c r="D30" s="6"/>
      <c r="E30" s="6"/>
      <c r="F30" s="6"/>
    </row>
    <row r="31" customFormat="false" ht="30" hidden="false" customHeight="true" outlineLevel="0" collapsed="false">
      <c r="A31" s="6" t="s">
        <v>145</v>
      </c>
      <c r="B31" s="6" t="s">
        <v>146</v>
      </c>
      <c r="C31" s="6"/>
      <c r="D31" s="6"/>
      <c r="E31" s="6"/>
      <c r="F31" s="6"/>
    </row>
  </sheetData>
  <mergeCells count="16">
    <mergeCell ref="A2:F2"/>
    <mergeCell ref="B5:F5"/>
    <mergeCell ref="B6:F6"/>
    <mergeCell ref="B7:F7"/>
    <mergeCell ref="B8:F8"/>
    <mergeCell ref="C19:F19"/>
    <mergeCell ref="C20:F20"/>
    <mergeCell ref="C21:F21"/>
    <mergeCell ref="C22:F22"/>
    <mergeCell ref="B25:F25"/>
    <mergeCell ref="B26:F26"/>
    <mergeCell ref="B27:F27"/>
    <mergeCell ref="B28:F28"/>
    <mergeCell ref="B29:F29"/>
    <mergeCell ref="B30:F30"/>
    <mergeCell ref="B31:F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4" min="3" style="0" width="34"/>
    <col collapsed="false" customWidth="true" hidden="false" outlineLevel="0" max="5" min="5" style="0" width="40"/>
    <col collapsed="false" customWidth="true" hidden="false" outlineLevel="0" max="6" min="6" style="0" width="12"/>
    <col collapsed="false" customWidth="true" hidden="false" outlineLevel="0" max="7" min="7" style="0" width="34"/>
  </cols>
  <sheetData>
    <row r="1" customFormat="false" ht="24" hidden="false" customHeight="true" outlineLevel="0" collapsed="false">
      <c r="A1" s="1" t="s">
        <v>147</v>
      </c>
    </row>
    <row r="2" customFormat="false" ht="30" hidden="false" customHeight="true" outlineLevel="0" collapsed="false">
      <c r="A2" s="2" t="s">
        <v>148</v>
      </c>
      <c r="B2" s="2"/>
      <c r="C2" s="2"/>
      <c r="D2" s="2"/>
      <c r="E2" s="2"/>
      <c r="F2" s="2"/>
      <c r="G2" s="2"/>
    </row>
    <row r="4" customFormat="false" ht="19.5" hidden="false" customHeight="true" outlineLevel="0" collapsed="false">
      <c r="A4" s="3" t="s">
        <v>149</v>
      </c>
      <c r="B4" s="4"/>
      <c r="C4" s="4"/>
      <c r="D4" s="4"/>
      <c r="E4" s="4"/>
      <c r="F4" s="4"/>
      <c r="G4" s="4"/>
    </row>
    <row r="5" customFormat="false" ht="30" hidden="false" customHeight="true" outlineLevel="0" collapsed="false">
      <c r="A5" s="5" t="s">
        <v>150</v>
      </c>
      <c r="B5" s="5" t="s">
        <v>151</v>
      </c>
      <c r="C5" s="5" t="s">
        <v>152</v>
      </c>
      <c r="D5" s="5" t="s">
        <v>153</v>
      </c>
      <c r="E5" s="5" t="s">
        <v>154</v>
      </c>
      <c r="F5" s="5" t="s">
        <v>155</v>
      </c>
      <c r="G5" s="5" t="s">
        <v>156</v>
      </c>
    </row>
    <row r="6" customFormat="false" ht="118.5" hidden="false" customHeight="true" outlineLevel="0" collapsed="false">
      <c r="A6" s="6" t="s">
        <v>157</v>
      </c>
      <c r="B6" s="6" t="s">
        <v>158</v>
      </c>
      <c r="C6" s="6" t="s">
        <v>159</v>
      </c>
      <c r="D6" s="6" t="s">
        <v>160</v>
      </c>
      <c r="E6" s="6" t="s">
        <v>161</v>
      </c>
      <c r="F6" s="7" t="n">
        <v>5</v>
      </c>
      <c r="G6" s="6" t="s">
        <v>162</v>
      </c>
    </row>
    <row r="7" customFormat="false" ht="79.5" hidden="false" customHeight="true" outlineLevel="0" collapsed="false">
      <c r="A7" s="6" t="s">
        <v>163</v>
      </c>
      <c r="B7" s="6" t="s">
        <v>164</v>
      </c>
      <c r="C7" s="6" t="s">
        <v>165</v>
      </c>
      <c r="D7" s="6" t="s">
        <v>166</v>
      </c>
      <c r="E7" s="6" t="s">
        <v>167</v>
      </c>
      <c r="F7" s="7" t="n">
        <v>4</v>
      </c>
      <c r="G7" s="6" t="s">
        <v>168</v>
      </c>
    </row>
    <row r="8" customFormat="false" ht="79.5" hidden="false" customHeight="true" outlineLevel="0" collapsed="false">
      <c r="A8" s="6" t="s">
        <v>169</v>
      </c>
      <c r="B8" s="6" t="s">
        <v>170</v>
      </c>
      <c r="C8" s="6" t="s">
        <v>171</v>
      </c>
      <c r="D8" s="6" t="s">
        <v>172</v>
      </c>
      <c r="E8" s="6" t="s">
        <v>173</v>
      </c>
      <c r="F8" s="7" t="n">
        <v>5</v>
      </c>
      <c r="G8" s="6" t="s">
        <v>174</v>
      </c>
    </row>
    <row r="9" customFormat="false" ht="66.75" hidden="false" customHeight="true" outlineLevel="0" collapsed="false">
      <c r="A9" s="6" t="s">
        <v>175</v>
      </c>
      <c r="B9" s="6" t="s">
        <v>176</v>
      </c>
      <c r="C9" s="6" t="s">
        <v>177</v>
      </c>
      <c r="D9" s="6" t="s">
        <v>178</v>
      </c>
      <c r="E9" s="6" t="s">
        <v>179</v>
      </c>
      <c r="F9" s="7" t="n">
        <v>4</v>
      </c>
      <c r="G9" s="6" t="s">
        <v>180</v>
      </c>
    </row>
    <row r="10" customFormat="false" ht="40.5" hidden="false" customHeight="true" outlineLevel="0" collapsed="false">
      <c r="A10" s="6" t="s">
        <v>181</v>
      </c>
      <c r="B10" s="6" t="s">
        <v>182</v>
      </c>
      <c r="C10" s="6" t="s">
        <v>183</v>
      </c>
      <c r="D10" s="6" t="s">
        <v>184</v>
      </c>
      <c r="E10" s="6" t="s">
        <v>185</v>
      </c>
      <c r="F10" s="7" t="n">
        <v>3</v>
      </c>
      <c r="G10" s="6" t="s">
        <v>186</v>
      </c>
    </row>
    <row r="12" customFormat="false" ht="19.5" hidden="false" customHeight="true" outlineLevel="0" collapsed="false">
      <c r="A12" s="3" t="s">
        <v>187</v>
      </c>
      <c r="B12" s="4"/>
      <c r="C12" s="4"/>
      <c r="D12" s="4"/>
      <c r="E12" s="4"/>
      <c r="F12" s="4"/>
      <c r="G12" s="4"/>
    </row>
    <row r="13" customFormat="false" ht="30" hidden="false" customHeight="true" outlineLevel="0" collapsed="false">
      <c r="A13" s="5" t="s">
        <v>188</v>
      </c>
      <c r="B13" s="5" t="s">
        <v>189</v>
      </c>
      <c r="C13" s="5" t="s">
        <v>190</v>
      </c>
      <c r="D13" s="5" t="s">
        <v>191</v>
      </c>
      <c r="E13" s="5" t="s">
        <v>192</v>
      </c>
      <c r="F13" s="5" t="s">
        <v>193</v>
      </c>
      <c r="G13" s="5"/>
    </row>
    <row r="14" customFormat="false" ht="79.5" hidden="false" customHeight="true" outlineLevel="0" collapsed="false">
      <c r="A14" s="6" t="s">
        <v>194</v>
      </c>
      <c r="B14" s="6" t="s">
        <v>195</v>
      </c>
      <c r="C14" s="6" t="s">
        <v>196</v>
      </c>
      <c r="D14" s="6" t="s">
        <v>197</v>
      </c>
      <c r="E14" s="6" t="s">
        <v>198</v>
      </c>
      <c r="F14" s="6" t="s">
        <v>199</v>
      </c>
    </row>
    <row r="15" customFormat="false" ht="66.75" hidden="false" customHeight="true" outlineLevel="0" collapsed="false">
      <c r="A15" s="6" t="s">
        <v>200</v>
      </c>
      <c r="B15" s="6" t="s">
        <v>201</v>
      </c>
      <c r="C15" s="6" t="s">
        <v>202</v>
      </c>
      <c r="D15" s="6" t="s">
        <v>203</v>
      </c>
      <c r="E15" s="6" t="s">
        <v>204</v>
      </c>
      <c r="F15" s="6" t="s">
        <v>205</v>
      </c>
    </row>
    <row r="16" customFormat="false" ht="27.75" hidden="false" customHeight="true" outlineLevel="0" collapsed="false">
      <c r="A16" s="6" t="s">
        <v>206</v>
      </c>
      <c r="B16" s="6" t="s">
        <v>207</v>
      </c>
      <c r="C16" s="6" t="s">
        <v>208</v>
      </c>
      <c r="D16" s="6" t="s">
        <v>209</v>
      </c>
      <c r="E16" s="6" t="s">
        <v>210</v>
      </c>
      <c r="F16" s="6" t="s">
        <v>211</v>
      </c>
    </row>
    <row r="17" customFormat="false" ht="79.5" hidden="false" customHeight="true" outlineLevel="0" collapsed="false">
      <c r="A17" s="6" t="s">
        <v>212</v>
      </c>
      <c r="B17" s="6" t="s">
        <v>213</v>
      </c>
      <c r="C17" s="6" t="s">
        <v>214</v>
      </c>
      <c r="D17" s="6" t="s">
        <v>215</v>
      </c>
      <c r="E17" s="6" t="s">
        <v>216</v>
      </c>
      <c r="F17" s="6" t="s">
        <v>217</v>
      </c>
    </row>
    <row r="18" customFormat="false" ht="40.5" hidden="false" customHeight="true" outlineLevel="0" collapsed="false">
      <c r="A18" s="6" t="s">
        <v>218</v>
      </c>
      <c r="B18" s="6" t="s">
        <v>219</v>
      </c>
      <c r="C18" s="6" t="s">
        <v>220</v>
      </c>
      <c r="D18" s="6" t="s">
        <v>221</v>
      </c>
      <c r="E18" s="6" t="s">
        <v>222</v>
      </c>
      <c r="F18" s="6" t="s">
        <v>223</v>
      </c>
    </row>
    <row r="20" customFormat="false" ht="19.5" hidden="false" customHeight="true" outlineLevel="0" collapsed="false">
      <c r="A20" s="3" t="s">
        <v>224</v>
      </c>
      <c r="B20" s="4"/>
      <c r="C20" s="4"/>
      <c r="D20" s="4"/>
      <c r="E20" s="4"/>
      <c r="F20" s="4"/>
      <c r="G20" s="4"/>
    </row>
    <row r="21" customFormat="false" ht="30" hidden="false" customHeight="true" outlineLevel="0" collapsed="false">
      <c r="A21" s="5" t="s">
        <v>225</v>
      </c>
      <c r="B21" s="5" t="s">
        <v>226</v>
      </c>
      <c r="C21" s="5" t="s">
        <v>227</v>
      </c>
      <c r="D21" s="5" t="s">
        <v>228</v>
      </c>
    </row>
    <row r="22" customFormat="false" ht="27.75" hidden="false" customHeight="true" outlineLevel="0" collapsed="false">
      <c r="A22" s="6" t="s">
        <v>229</v>
      </c>
      <c r="B22" s="6" t="s">
        <v>230</v>
      </c>
      <c r="C22" s="6" t="s">
        <v>231</v>
      </c>
      <c r="D22" s="6" t="s">
        <v>232</v>
      </c>
    </row>
    <row r="23" customFormat="false" ht="27.75" hidden="false" customHeight="true" outlineLevel="0" collapsed="false">
      <c r="A23" s="6" t="s">
        <v>233</v>
      </c>
      <c r="B23" s="6" t="s">
        <v>234</v>
      </c>
      <c r="C23" s="6" t="s">
        <v>235</v>
      </c>
      <c r="D23" s="6" t="s">
        <v>236</v>
      </c>
    </row>
    <row r="24" customFormat="false" ht="27.75" hidden="false" customHeight="true" outlineLevel="0" collapsed="false">
      <c r="A24" s="6" t="s">
        <v>237</v>
      </c>
      <c r="B24" s="6" t="s">
        <v>238</v>
      </c>
      <c r="C24" s="6" t="s">
        <v>239</v>
      </c>
      <c r="D24" s="6" t="s">
        <v>240</v>
      </c>
    </row>
    <row r="25" customFormat="false" ht="27.75" hidden="false" customHeight="true" outlineLevel="0" collapsed="false">
      <c r="A25" s="6" t="s">
        <v>241</v>
      </c>
      <c r="B25" s="6" t="s">
        <v>242</v>
      </c>
      <c r="C25" s="6" t="s">
        <v>243</v>
      </c>
      <c r="D25" s="6" t="s">
        <v>244</v>
      </c>
    </row>
    <row r="26" customFormat="false" ht="27.75" hidden="false" customHeight="true" outlineLevel="0" collapsed="false">
      <c r="A26" s="6" t="s">
        <v>245</v>
      </c>
      <c r="B26" s="6" t="s">
        <v>246</v>
      </c>
      <c r="C26" s="6" t="s">
        <v>247</v>
      </c>
      <c r="D26" s="6" t="s">
        <v>248</v>
      </c>
    </row>
    <row r="27" customFormat="false" ht="27.75" hidden="false" customHeight="true" outlineLevel="0" collapsed="false">
      <c r="A27" s="6" t="s">
        <v>249</v>
      </c>
      <c r="B27" s="6" t="s">
        <v>250</v>
      </c>
      <c r="C27" s="6" t="s">
        <v>251</v>
      </c>
      <c r="D27" s="6" t="s">
        <v>252</v>
      </c>
    </row>
    <row r="28" customFormat="false" ht="27.75" hidden="false" customHeight="true" outlineLevel="0" collapsed="false">
      <c r="A28" s="6" t="s">
        <v>253</v>
      </c>
      <c r="B28" s="6" t="s">
        <v>254</v>
      </c>
      <c r="C28" s="6" t="s">
        <v>243</v>
      </c>
      <c r="D28" s="6" t="s">
        <v>255</v>
      </c>
    </row>
    <row r="29" customFormat="false" ht="27.75" hidden="false" customHeight="true" outlineLevel="0" collapsed="false">
      <c r="A29" s="6" t="s">
        <v>256</v>
      </c>
      <c r="B29" s="6" t="s">
        <v>257</v>
      </c>
      <c r="C29" s="6" t="s">
        <v>239</v>
      </c>
      <c r="D29" s="6" t="s">
        <v>258</v>
      </c>
    </row>
    <row r="30" customFormat="false" ht="27.75" hidden="false" customHeight="true" outlineLevel="0" collapsed="false">
      <c r="A30" s="6" t="s">
        <v>259</v>
      </c>
      <c r="B30" s="6" t="s">
        <v>260</v>
      </c>
      <c r="C30" s="6" t="s">
        <v>243</v>
      </c>
      <c r="D30" s="6" t="s">
        <v>261</v>
      </c>
    </row>
    <row r="31" customFormat="false" ht="27.75" hidden="false" customHeight="true" outlineLevel="0" collapsed="false">
      <c r="A31" s="6" t="s">
        <v>262</v>
      </c>
      <c r="B31" s="6" t="s">
        <v>263</v>
      </c>
      <c r="C31" s="6" t="s">
        <v>264</v>
      </c>
      <c r="D31" s="6" t="s">
        <v>265</v>
      </c>
    </row>
    <row r="32" customFormat="false" ht="27.75" hidden="false" customHeight="true" outlineLevel="0" collapsed="false">
      <c r="A32" s="6" t="s">
        <v>266</v>
      </c>
      <c r="B32" s="6" t="s">
        <v>267</v>
      </c>
      <c r="C32" s="6" t="s">
        <v>268</v>
      </c>
      <c r="D32" s="6" t="s">
        <v>269</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34"/>
    <col collapsed="false" customWidth="true" hidden="false" outlineLevel="0" max="5" min="4" style="0" width="30"/>
    <col collapsed="false" customWidth="true" hidden="false" outlineLevel="0" max="6" min="6" style="0" width="26"/>
    <col collapsed="false" customWidth="true" hidden="false" outlineLevel="0" max="7" min="7" style="0" width="12"/>
    <col collapsed="false" customWidth="true" hidden="false" outlineLevel="0" max="8" min="8" style="0" width="34"/>
  </cols>
  <sheetData>
    <row r="1" customFormat="false" ht="24" hidden="false" customHeight="true" outlineLevel="0" collapsed="false">
      <c r="A1" s="1" t="s">
        <v>270</v>
      </c>
    </row>
    <row r="2" customFormat="false" ht="30" hidden="false" customHeight="true" outlineLevel="0" collapsed="false">
      <c r="A2" s="2" t="s">
        <v>271</v>
      </c>
      <c r="B2" s="2"/>
      <c r="C2" s="2"/>
      <c r="D2" s="2"/>
      <c r="E2" s="2"/>
      <c r="F2" s="2"/>
      <c r="G2" s="2"/>
      <c r="H2" s="2"/>
    </row>
    <row r="4" customFormat="false" ht="19.5" hidden="false" customHeight="true" outlineLevel="0" collapsed="false">
      <c r="A4" s="3" t="s">
        <v>272</v>
      </c>
      <c r="B4" s="4"/>
      <c r="C4" s="4"/>
      <c r="D4" s="4"/>
      <c r="E4" s="4"/>
      <c r="F4" s="4"/>
      <c r="G4" s="4"/>
      <c r="H4" s="4"/>
    </row>
    <row r="5" customFormat="false" ht="30" hidden="false" customHeight="true" outlineLevel="0" collapsed="false">
      <c r="A5" s="5" t="s">
        <v>273</v>
      </c>
      <c r="B5" s="5" t="s">
        <v>274</v>
      </c>
      <c r="C5" s="5" t="s">
        <v>275</v>
      </c>
      <c r="D5" s="5" t="s">
        <v>276</v>
      </c>
      <c r="E5" s="5" t="s">
        <v>277</v>
      </c>
      <c r="F5" s="5" t="s">
        <v>228</v>
      </c>
      <c r="G5" s="5" t="s">
        <v>278</v>
      </c>
      <c r="H5" s="5" t="s">
        <v>5</v>
      </c>
    </row>
    <row r="6" customFormat="false" ht="40.5" hidden="false" customHeight="true" outlineLevel="0" collapsed="false">
      <c r="A6" s="6" t="s">
        <v>279</v>
      </c>
      <c r="B6" s="6" t="s">
        <v>280</v>
      </c>
      <c r="C6" s="6" t="s">
        <v>281</v>
      </c>
      <c r="D6" s="6" t="s">
        <v>282</v>
      </c>
      <c r="E6" s="6" t="s">
        <v>283</v>
      </c>
      <c r="F6" s="6" t="s">
        <v>284</v>
      </c>
      <c r="G6" s="7" t="n">
        <v>3</v>
      </c>
      <c r="H6" s="6" t="s">
        <v>285</v>
      </c>
    </row>
    <row r="7" customFormat="false" ht="27.75" hidden="false" customHeight="true" outlineLevel="0" collapsed="false">
      <c r="A7" s="6" t="s">
        <v>286</v>
      </c>
      <c r="B7" s="6" t="s">
        <v>287</v>
      </c>
      <c r="C7" s="6" t="s">
        <v>288</v>
      </c>
      <c r="D7" s="6" t="s">
        <v>289</v>
      </c>
      <c r="E7" s="6" t="s">
        <v>290</v>
      </c>
      <c r="F7" s="6" t="s">
        <v>291</v>
      </c>
      <c r="G7" s="7" t="n">
        <v>3</v>
      </c>
      <c r="H7" s="6" t="s">
        <v>292</v>
      </c>
    </row>
    <row r="8" customFormat="false" ht="54" hidden="false" customHeight="true" outlineLevel="0" collapsed="false">
      <c r="A8" s="6" t="s">
        <v>293</v>
      </c>
      <c r="B8" s="6" t="s">
        <v>294</v>
      </c>
      <c r="C8" s="6" t="s">
        <v>295</v>
      </c>
      <c r="D8" s="6" t="s">
        <v>296</v>
      </c>
      <c r="E8" s="6" t="s">
        <v>297</v>
      </c>
      <c r="F8" s="6" t="s">
        <v>298</v>
      </c>
      <c r="G8" s="7" t="n">
        <v>4</v>
      </c>
      <c r="H8" s="6" t="s">
        <v>299</v>
      </c>
    </row>
    <row r="9" customFormat="false" ht="40.5" hidden="false" customHeight="true" outlineLevel="0" collapsed="false">
      <c r="A9" s="6" t="s">
        <v>300</v>
      </c>
      <c r="B9" s="6" t="s">
        <v>301</v>
      </c>
      <c r="C9" s="6" t="s">
        <v>302</v>
      </c>
      <c r="D9" s="6" t="s">
        <v>303</v>
      </c>
      <c r="E9" s="6" t="s">
        <v>304</v>
      </c>
      <c r="F9" s="6" t="s">
        <v>305</v>
      </c>
      <c r="G9" s="7" t="n">
        <v>3</v>
      </c>
      <c r="H9" s="6" t="s">
        <v>306</v>
      </c>
    </row>
    <row r="10" customFormat="false" ht="40.5" hidden="false" customHeight="true" outlineLevel="0" collapsed="false">
      <c r="A10" s="6" t="s">
        <v>307</v>
      </c>
      <c r="B10" s="6" t="s">
        <v>308</v>
      </c>
      <c r="C10" s="6" t="s">
        <v>309</v>
      </c>
      <c r="D10" s="6" t="s">
        <v>310</v>
      </c>
      <c r="E10" s="6" t="s">
        <v>311</v>
      </c>
      <c r="F10" s="6" t="s">
        <v>312</v>
      </c>
      <c r="G10" s="7" t="n">
        <v>4</v>
      </c>
      <c r="H10" s="6" t="s">
        <v>313</v>
      </c>
    </row>
    <row r="11" customFormat="false" ht="27.75" hidden="false" customHeight="true" outlineLevel="0" collapsed="false">
      <c r="A11" s="6" t="s">
        <v>314</v>
      </c>
      <c r="B11" s="6" t="s">
        <v>315</v>
      </c>
      <c r="C11" s="6" t="s">
        <v>316</v>
      </c>
      <c r="D11" s="6" t="s">
        <v>317</v>
      </c>
      <c r="E11" s="6" t="s">
        <v>318</v>
      </c>
      <c r="F11" s="6" t="s">
        <v>319</v>
      </c>
      <c r="G11" s="7" t="n">
        <v>4</v>
      </c>
      <c r="H11" s="6" t="s">
        <v>320</v>
      </c>
    </row>
    <row r="12" customFormat="false" ht="40.5" hidden="false" customHeight="true" outlineLevel="0" collapsed="false">
      <c r="A12" s="6" t="s">
        <v>321</v>
      </c>
      <c r="B12" s="6" t="s">
        <v>322</v>
      </c>
      <c r="C12" s="6" t="s">
        <v>323</v>
      </c>
      <c r="D12" s="6" t="s">
        <v>324</v>
      </c>
      <c r="E12" s="6" t="s">
        <v>325</v>
      </c>
      <c r="F12" s="6" t="s">
        <v>326</v>
      </c>
      <c r="G12" s="7" t="n">
        <v>3</v>
      </c>
      <c r="H12" s="6" t="s">
        <v>327</v>
      </c>
    </row>
    <row r="13" customFormat="false" ht="40.5" hidden="false" customHeight="true" outlineLevel="0" collapsed="false">
      <c r="A13" s="6" t="s">
        <v>328</v>
      </c>
      <c r="B13" s="6" t="s">
        <v>329</v>
      </c>
      <c r="C13" s="6" t="s">
        <v>330</v>
      </c>
      <c r="D13" s="6" t="s">
        <v>331</v>
      </c>
      <c r="E13" s="6" t="s">
        <v>332</v>
      </c>
      <c r="F13" s="6" t="s">
        <v>333</v>
      </c>
      <c r="G13" s="7" t="n">
        <v>3</v>
      </c>
      <c r="H13" s="6" t="s">
        <v>334</v>
      </c>
    </row>
    <row r="14" customFormat="false" ht="40.5" hidden="false" customHeight="true" outlineLevel="0" collapsed="false">
      <c r="A14" s="6" t="s">
        <v>335</v>
      </c>
      <c r="B14" s="6" t="s">
        <v>336</v>
      </c>
      <c r="C14" s="6" t="s">
        <v>337</v>
      </c>
      <c r="D14" s="6" t="s">
        <v>338</v>
      </c>
      <c r="E14" s="6" t="s">
        <v>339</v>
      </c>
      <c r="F14" s="6" t="s">
        <v>340</v>
      </c>
      <c r="G14" s="7" t="n">
        <v>4</v>
      </c>
      <c r="H14" s="6" t="s">
        <v>341</v>
      </c>
    </row>
    <row r="15" customFormat="false" ht="27.75" hidden="false" customHeight="true" outlineLevel="0" collapsed="false">
      <c r="A15" s="6" t="s">
        <v>342</v>
      </c>
      <c r="B15" s="6" t="s">
        <v>343</v>
      </c>
      <c r="C15" s="6" t="s">
        <v>344</v>
      </c>
      <c r="D15" s="6" t="s">
        <v>345</v>
      </c>
      <c r="E15" s="6" t="s">
        <v>346</v>
      </c>
      <c r="F15" s="6" t="s">
        <v>347</v>
      </c>
      <c r="G15" s="7" t="n">
        <v>4</v>
      </c>
      <c r="H15" s="6" t="s">
        <v>348</v>
      </c>
    </row>
    <row r="16" customFormat="false" ht="40.5" hidden="false" customHeight="true" outlineLevel="0" collapsed="false">
      <c r="A16" s="6" t="s">
        <v>349</v>
      </c>
      <c r="B16" s="6" t="s">
        <v>350</v>
      </c>
      <c r="C16" s="6" t="s">
        <v>351</v>
      </c>
      <c r="D16" s="6" t="s">
        <v>352</v>
      </c>
      <c r="E16" s="6" t="s">
        <v>353</v>
      </c>
      <c r="F16" s="6" t="s">
        <v>354</v>
      </c>
      <c r="G16" s="7" t="n">
        <v>2</v>
      </c>
      <c r="H16" s="6" t="s">
        <v>355</v>
      </c>
    </row>
    <row r="17" customFormat="false" ht="40.5" hidden="false" customHeight="true" outlineLevel="0" collapsed="false">
      <c r="A17" s="6" t="s">
        <v>356</v>
      </c>
      <c r="B17" s="6" t="s">
        <v>357</v>
      </c>
      <c r="C17" s="6" t="s">
        <v>358</v>
      </c>
      <c r="D17" s="6" t="s">
        <v>359</v>
      </c>
      <c r="E17" s="6" t="s">
        <v>360</v>
      </c>
      <c r="F17" s="6" t="s">
        <v>361</v>
      </c>
      <c r="G17" s="7" t="n">
        <v>2</v>
      </c>
      <c r="H17" s="6" t="s">
        <v>362</v>
      </c>
    </row>
    <row r="18" customFormat="false" ht="40.5" hidden="false" customHeight="true" outlineLevel="0" collapsed="false">
      <c r="A18" s="6" t="s">
        <v>363</v>
      </c>
      <c r="B18" s="6" t="s">
        <v>364</v>
      </c>
      <c r="C18" s="6" t="s">
        <v>365</v>
      </c>
      <c r="D18" s="6" t="s">
        <v>366</v>
      </c>
      <c r="E18" s="6" t="s">
        <v>367</v>
      </c>
      <c r="F18" s="6" t="s">
        <v>368</v>
      </c>
      <c r="G18" s="7" t="n">
        <v>3</v>
      </c>
      <c r="H18" s="6" t="s">
        <v>369</v>
      </c>
    </row>
    <row r="19" customFormat="false" ht="54" hidden="false" customHeight="true" outlineLevel="0" collapsed="false">
      <c r="A19" s="6" t="s">
        <v>370</v>
      </c>
      <c r="B19" s="6" t="s">
        <v>371</v>
      </c>
      <c r="C19" s="6" t="s">
        <v>372</v>
      </c>
      <c r="D19" s="6" t="s">
        <v>373</v>
      </c>
      <c r="E19" s="6" t="s">
        <v>374</v>
      </c>
      <c r="F19" s="6" t="s">
        <v>375</v>
      </c>
      <c r="G19" s="7" t="n">
        <v>3</v>
      </c>
      <c r="H19" s="6" t="s">
        <v>376</v>
      </c>
    </row>
    <row r="20" customFormat="false" ht="27.75" hidden="false" customHeight="true" outlineLevel="0" collapsed="false">
      <c r="A20" s="6" t="s">
        <v>377</v>
      </c>
      <c r="B20" s="6" t="s">
        <v>378</v>
      </c>
      <c r="C20" s="6" t="s">
        <v>379</v>
      </c>
      <c r="D20" s="6" t="s">
        <v>380</v>
      </c>
      <c r="E20" s="6" t="s">
        <v>381</v>
      </c>
      <c r="F20" s="6" t="s">
        <v>382</v>
      </c>
      <c r="G20" s="7" t="n">
        <v>4</v>
      </c>
      <c r="H20" s="6" t="s">
        <v>383</v>
      </c>
    </row>
    <row r="21" customFormat="false" ht="40.5" hidden="false" customHeight="true" outlineLevel="0" collapsed="false">
      <c r="A21" s="6" t="s">
        <v>384</v>
      </c>
      <c r="B21" s="6" t="s">
        <v>385</v>
      </c>
      <c r="C21" s="6" t="s">
        <v>386</v>
      </c>
      <c r="D21" s="6" t="s">
        <v>387</v>
      </c>
      <c r="E21" s="6" t="s">
        <v>388</v>
      </c>
      <c r="F21" s="6" t="s">
        <v>298</v>
      </c>
      <c r="G21" s="7" t="n">
        <v>2</v>
      </c>
      <c r="H21" s="6" t="s">
        <v>389</v>
      </c>
    </row>
    <row r="23" customFormat="false" ht="19.5" hidden="false" customHeight="true" outlineLevel="0" collapsed="false">
      <c r="A23" s="3" t="s">
        <v>390</v>
      </c>
      <c r="B23" s="4"/>
      <c r="C23" s="4"/>
      <c r="D23" s="4"/>
      <c r="E23" s="4"/>
      <c r="F23" s="4"/>
      <c r="G23" s="4"/>
      <c r="H23" s="4"/>
    </row>
    <row r="24" customFormat="false" ht="30" hidden="false" customHeight="true" outlineLevel="0" collapsed="false">
      <c r="A24" s="5" t="s">
        <v>391</v>
      </c>
      <c r="B24" s="5" t="s">
        <v>392</v>
      </c>
      <c r="C24" s="5" t="s">
        <v>393</v>
      </c>
      <c r="D24" s="5" t="s">
        <v>394</v>
      </c>
      <c r="E24" s="5" t="s">
        <v>395</v>
      </c>
      <c r="F24" s="5" t="s">
        <v>396</v>
      </c>
    </row>
    <row r="25" customFormat="false" ht="27.75" hidden="false" customHeight="true" outlineLevel="0" collapsed="false">
      <c r="A25" s="6" t="s">
        <v>397</v>
      </c>
      <c r="B25" s="6" t="s">
        <v>398</v>
      </c>
      <c r="C25" s="6" t="s">
        <v>399</v>
      </c>
      <c r="D25" s="6" t="s">
        <v>400</v>
      </c>
      <c r="E25" s="6" t="s">
        <v>401</v>
      </c>
      <c r="F25" s="6" t="s">
        <v>402</v>
      </c>
    </row>
    <row r="26" customFormat="false" ht="27.75" hidden="false" customHeight="true" outlineLevel="0" collapsed="false">
      <c r="A26" s="6" t="s">
        <v>403</v>
      </c>
      <c r="B26" s="6" t="s">
        <v>404</v>
      </c>
      <c r="C26" s="6" t="s">
        <v>405</v>
      </c>
      <c r="D26" s="6" t="s">
        <v>406</v>
      </c>
      <c r="E26" s="6" t="s">
        <v>407</v>
      </c>
      <c r="F26" s="6" t="s">
        <v>408</v>
      </c>
    </row>
    <row r="27" customFormat="false" ht="40.5" hidden="false" customHeight="true" outlineLevel="0" collapsed="false">
      <c r="A27" s="6" t="s">
        <v>409</v>
      </c>
      <c r="B27" s="6" t="s">
        <v>410</v>
      </c>
      <c r="C27" s="6" t="s">
        <v>411</v>
      </c>
      <c r="D27" s="6" t="s">
        <v>412</v>
      </c>
      <c r="E27" s="6" t="s">
        <v>413</v>
      </c>
      <c r="F27" s="6" t="s">
        <v>414</v>
      </c>
    </row>
    <row r="28" customFormat="false" ht="27.75" hidden="false" customHeight="true" outlineLevel="0" collapsed="false">
      <c r="A28" s="6" t="s">
        <v>415</v>
      </c>
      <c r="B28" s="6" t="s">
        <v>416</v>
      </c>
      <c r="C28" s="6" t="s">
        <v>417</v>
      </c>
      <c r="D28" s="6" t="s">
        <v>418</v>
      </c>
      <c r="E28" s="6" t="s">
        <v>419</v>
      </c>
      <c r="F28" s="6" t="s">
        <v>420</v>
      </c>
    </row>
    <row r="29" customFormat="false" ht="27.75" hidden="false" customHeight="true" outlineLevel="0" collapsed="false">
      <c r="A29" s="6" t="s">
        <v>421</v>
      </c>
      <c r="B29" s="6" t="s">
        <v>422</v>
      </c>
      <c r="C29" s="6" t="s">
        <v>423</v>
      </c>
      <c r="D29" s="6" t="s">
        <v>424</v>
      </c>
      <c r="E29" s="6" t="s">
        <v>425</v>
      </c>
      <c r="F29" s="6" t="s">
        <v>426</v>
      </c>
    </row>
    <row r="30" customFormat="false" ht="27.75" hidden="false" customHeight="true" outlineLevel="0" collapsed="false">
      <c r="A30" s="6" t="s">
        <v>427</v>
      </c>
      <c r="B30" s="6" t="s">
        <v>428</v>
      </c>
      <c r="C30" s="6" t="s">
        <v>429</v>
      </c>
      <c r="D30" s="6" t="s">
        <v>424</v>
      </c>
      <c r="E30" s="6" t="s">
        <v>430</v>
      </c>
      <c r="F30" s="6" t="s">
        <v>431</v>
      </c>
    </row>
    <row r="31" customFormat="false" ht="27.75" hidden="false" customHeight="true" outlineLevel="0" collapsed="false">
      <c r="A31" s="6" t="s">
        <v>432</v>
      </c>
      <c r="B31" s="6" t="s">
        <v>433</v>
      </c>
      <c r="C31" s="6" t="s">
        <v>434</v>
      </c>
      <c r="D31" s="6" t="s">
        <v>435</v>
      </c>
      <c r="E31" s="6" t="s">
        <v>436</v>
      </c>
      <c r="F31" s="6" t="s">
        <v>437</v>
      </c>
    </row>
    <row r="32" customFormat="false" ht="40.5" hidden="false" customHeight="true" outlineLevel="0" collapsed="false">
      <c r="A32" s="6" t="s">
        <v>438</v>
      </c>
      <c r="B32" s="6" t="s">
        <v>439</v>
      </c>
      <c r="C32" s="6" t="s">
        <v>440</v>
      </c>
      <c r="D32" s="6" t="s">
        <v>418</v>
      </c>
      <c r="E32" s="6" t="s">
        <v>441</v>
      </c>
      <c r="F32" s="6" t="s">
        <v>442</v>
      </c>
    </row>
    <row r="33" customFormat="false" ht="27.75" hidden="false" customHeight="true" outlineLevel="0" collapsed="false">
      <c r="A33" s="6" t="s">
        <v>443</v>
      </c>
      <c r="B33" s="6" t="s">
        <v>444</v>
      </c>
      <c r="C33" s="6" t="s">
        <v>445</v>
      </c>
      <c r="D33" s="6" t="s">
        <v>435</v>
      </c>
      <c r="E33" s="6" t="s">
        <v>446</v>
      </c>
      <c r="F33" s="6" t="s">
        <v>447</v>
      </c>
    </row>
    <row r="35" customFormat="false" ht="19.5" hidden="false" customHeight="true" outlineLevel="0" collapsed="false">
      <c r="A35" s="3" t="s">
        <v>448</v>
      </c>
      <c r="B35" s="4"/>
      <c r="C35" s="4"/>
      <c r="D35" s="4"/>
      <c r="E35" s="4"/>
      <c r="F35" s="4"/>
      <c r="G35" s="4"/>
      <c r="H35" s="4"/>
    </row>
    <row r="36" customFormat="false" ht="45" hidden="false" customHeight="true" outlineLevel="0" collapsed="false">
      <c r="A36" s="8" t="s">
        <v>449</v>
      </c>
      <c r="B36" s="8"/>
      <c r="C36" s="8"/>
      <c r="D36" s="8"/>
      <c r="E36" s="8"/>
      <c r="F36" s="8"/>
      <c r="G36" s="8"/>
      <c r="H36" s="8"/>
    </row>
    <row r="37" customFormat="false" ht="45" hidden="false" customHeight="true" outlineLevel="0" collapsed="false">
      <c r="A37" s="8" t="s">
        <v>450</v>
      </c>
      <c r="B37" s="8"/>
      <c r="C37" s="8"/>
      <c r="D37" s="8"/>
      <c r="E37" s="8"/>
      <c r="F37" s="8"/>
      <c r="G37" s="8"/>
      <c r="H37" s="8"/>
    </row>
  </sheetData>
  <mergeCells count="3">
    <mergeCell ref="A2:H2"/>
    <mergeCell ref="A36:H36"/>
    <mergeCell ref="A37:H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6" min="1" style="0" width="26"/>
    <col collapsed="false" customWidth="true" hidden="false" outlineLevel="0" max="7" min="7" style="0" width="10"/>
    <col collapsed="false" customWidth="true" hidden="false" outlineLevel="0" max="8" min="8" style="0" width="40"/>
    <col collapsed="false" customWidth="true" hidden="false" outlineLevel="0" max="10" min="9" style="0" width="10"/>
    <col collapsed="false" customWidth="true" hidden="false" outlineLevel="0" max="11" min="11" style="0" width="40"/>
  </cols>
  <sheetData>
    <row r="1" customFormat="false" ht="24" hidden="false" customHeight="true" outlineLevel="0" collapsed="false">
      <c r="A1" s="1" t="s">
        <v>451</v>
      </c>
    </row>
    <row r="2" customFormat="false" ht="30" hidden="false" customHeight="true" outlineLevel="0" collapsed="false">
      <c r="A2" s="2" t="s">
        <v>452</v>
      </c>
      <c r="B2" s="2"/>
      <c r="C2" s="2"/>
      <c r="D2" s="2"/>
      <c r="E2" s="2"/>
      <c r="F2" s="2"/>
      <c r="G2" s="2"/>
      <c r="H2" s="2"/>
      <c r="I2" s="2"/>
      <c r="J2" s="2"/>
      <c r="K2" s="2"/>
    </row>
    <row r="4" customFormat="false" ht="30" hidden="false" customHeight="true" outlineLevel="0" collapsed="false">
      <c r="A4" s="5" t="s">
        <v>453</v>
      </c>
      <c r="B4" s="5" t="s">
        <v>454</v>
      </c>
      <c r="C4" s="5" t="s">
        <v>455</v>
      </c>
      <c r="D4" s="5" t="s">
        <v>456</v>
      </c>
      <c r="E4" s="5" t="s">
        <v>457</v>
      </c>
      <c r="F4" s="5" t="s">
        <v>458</v>
      </c>
      <c r="G4" s="5" t="s">
        <v>459</v>
      </c>
      <c r="H4" s="5" t="s">
        <v>460</v>
      </c>
      <c r="I4" s="5" t="s">
        <v>461</v>
      </c>
      <c r="J4" s="5" t="s">
        <v>462</v>
      </c>
      <c r="K4" s="5" t="s">
        <v>463</v>
      </c>
    </row>
    <row r="5" customFormat="false" ht="54" hidden="false" customHeight="true" outlineLevel="0" collapsed="false">
      <c r="A5" s="6" t="s">
        <v>464</v>
      </c>
      <c r="B5" s="6" t="s">
        <v>465</v>
      </c>
      <c r="C5" s="6" t="s">
        <v>466</v>
      </c>
      <c r="D5" s="6" t="s">
        <v>467</v>
      </c>
      <c r="E5" s="6" t="s">
        <v>468</v>
      </c>
      <c r="F5" s="6" t="s">
        <v>469</v>
      </c>
      <c r="G5" s="9" t="n">
        <v>3</v>
      </c>
      <c r="H5" s="6" t="s">
        <v>470</v>
      </c>
      <c r="I5" s="9" t="n">
        <v>4</v>
      </c>
      <c r="J5" s="9" t="n">
        <v>4</v>
      </c>
      <c r="K5" s="6" t="s">
        <v>471</v>
      </c>
    </row>
    <row r="6" customFormat="false" ht="54" hidden="false" customHeight="true" outlineLevel="0" collapsed="false">
      <c r="A6" s="6" t="s">
        <v>472</v>
      </c>
      <c r="B6" s="6" t="s">
        <v>473</v>
      </c>
      <c r="C6" s="6" t="s">
        <v>474</v>
      </c>
      <c r="D6" s="6" t="s">
        <v>475</v>
      </c>
      <c r="E6" s="6" t="s">
        <v>476</v>
      </c>
      <c r="F6" s="6" t="s">
        <v>477</v>
      </c>
      <c r="G6" s="9" t="n">
        <v>2</v>
      </c>
      <c r="H6" s="6" t="s">
        <v>478</v>
      </c>
      <c r="I6" s="9" t="n">
        <v>3</v>
      </c>
      <c r="J6" s="9" t="n">
        <v>4</v>
      </c>
      <c r="K6" s="6" t="s">
        <v>479</v>
      </c>
    </row>
    <row r="7" customFormat="false" ht="66.75" hidden="false" customHeight="true" outlineLevel="0" collapsed="false">
      <c r="A7" s="6" t="s">
        <v>480</v>
      </c>
      <c r="B7" s="6" t="s">
        <v>481</v>
      </c>
      <c r="C7" s="6" t="s">
        <v>482</v>
      </c>
      <c r="D7" s="6" t="s">
        <v>483</v>
      </c>
      <c r="E7" s="6" t="s">
        <v>484</v>
      </c>
      <c r="F7" s="6" t="s">
        <v>485</v>
      </c>
      <c r="G7" s="9" t="n">
        <v>3</v>
      </c>
      <c r="H7" s="6" t="s">
        <v>486</v>
      </c>
      <c r="I7" s="9" t="n">
        <v>4</v>
      </c>
      <c r="J7" s="9" t="n">
        <v>4</v>
      </c>
      <c r="K7" s="6" t="s">
        <v>487</v>
      </c>
    </row>
    <row r="8" customFormat="false" ht="66.75" hidden="false" customHeight="true" outlineLevel="0" collapsed="false">
      <c r="A8" s="6" t="s">
        <v>488</v>
      </c>
      <c r="B8" s="6" t="s">
        <v>489</v>
      </c>
      <c r="C8" s="6" t="s">
        <v>490</v>
      </c>
      <c r="D8" s="6" t="s">
        <v>491</v>
      </c>
      <c r="E8" s="6" t="s">
        <v>492</v>
      </c>
      <c r="F8" s="6" t="s">
        <v>493</v>
      </c>
      <c r="G8" s="9" t="n">
        <v>3</v>
      </c>
      <c r="H8" s="6" t="s">
        <v>494</v>
      </c>
      <c r="I8" s="9" t="n">
        <v>4</v>
      </c>
      <c r="J8" s="9" t="n">
        <v>4</v>
      </c>
      <c r="K8" s="6" t="s">
        <v>495</v>
      </c>
    </row>
    <row r="9" customFormat="false" ht="66.75" hidden="false" customHeight="true" outlineLevel="0" collapsed="false">
      <c r="A9" s="6" t="s">
        <v>496</v>
      </c>
      <c r="B9" s="6" t="s">
        <v>497</v>
      </c>
      <c r="C9" s="6" t="s">
        <v>498</v>
      </c>
      <c r="D9" s="6" t="s">
        <v>499</v>
      </c>
      <c r="E9" s="6" t="s">
        <v>500</v>
      </c>
      <c r="F9" s="6" t="s">
        <v>501</v>
      </c>
      <c r="G9" s="9" t="n">
        <v>3</v>
      </c>
      <c r="H9" s="6" t="s">
        <v>502</v>
      </c>
      <c r="I9" s="9" t="n">
        <v>3</v>
      </c>
      <c r="J9" s="9" t="n">
        <v>4</v>
      </c>
      <c r="K9" s="6" t="s">
        <v>503</v>
      </c>
    </row>
    <row r="10" customFormat="false" ht="54" hidden="false" customHeight="true" outlineLevel="0" collapsed="false">
      <c r="A10" s="6" t="s">
        <v>504</v>
      </c>
      <c r="B10" s="6" t="s">
        <v>505</v>
      </c>
      <c r="C10" s="6" t="s">
        <v>506</v>
      </c>
      <c r="D10" s="6" t="s">
        <v>507</v>
      </c>
      <c r="E10" s="6" t="s">
        <v>508</v>
      </c>
      <c r="F10" s="6" t="s">
        <v>509</v>
      </c>
      <c r="G10" s="9" t="n">
        <v>2</v>
      </c>
      <c r="H10" s="6" t="s">
        <v>510</v>
      </c>
      <c r="I10" s="9" t="n">
        <v>3</v>
      </c>
      <c r="J10" s="9" t="n">
        <v>4</v>
      </c>
      <c r="K10" s="6" t="s">
        <v>511</v>
      </c>
    </row>
    <row r="11" customFormat="false" ht="54" hidden="false" customHeight="true" outlineLevel="0" collapsed="false">
      <c r="A11" s="6" t="s">
        <v>512</v>
      </c>
      <c r="B11" s="6" t="s">
        <v>513</v>
      </c>
      <c r="C11" s="6" t="s">
        <v>514</v>
      </c>
      <c r="D11" s="6" t="s">
        <v>515</v>
      </c>
      <c r="E11" s="6" t="s">
        <v>516</v>
      </c>
      <c r="F11" s="6" t="s">
        <v>517</v>
      </c>
      <c r="G11" s="9" t="n">
        <v>2</v>
      </c>
      <c r="H11" s="6" t="s">
        <v>518</v>
      </c>
      <c r="I11" s="9" t="n">
        <v>3</v>
      </c>
      <c r="J11" s="9" t="n">
        <v>4</v>
      </c>
      <c r="K11" s="6" t="s">
        <v>519</v>
      </c>
    </row>
    <row r="12" customFormat="false" ht="40.5" hidden="false" customHeight="true" outlineLevel="0" collapsed="false">
      <c r="A12" s="6" t="s">
        <v>520</v>
      </c>
      <c r="B12" s="6" t="s">
        <v>521</v>
      </c>
      <c r="C12" s="6" t="s">
        <v>522</v>
      </c>
      <c r="D12" s="6" t="s">
        <v>523</v>
      </c>
      <c r="E12" s="6" t="s">
        <v>524</v>
      </c>
      <c r="F12" s="6" t="s">
        <v>525</v>
      </c>
      <c r="G12" s="9" t="n">
        <v>2</v>
      </c>
      <c r="H12" s="6" t="s">
        <v>526</v>
      </c>
      <c r="I12" s="9" t="n">
        <v>3</v>
      </c>
      <c r="J12" s="9" t="n">
        <v>4</v>
      </c>
      <c r="K12" s="6" t="s">
        <v>527</v>
      </c>
    </row>
    <row r="13" customFormat="false" ht="15" hidden="false" customHeight="false" outlineLevel="0" collapsed="false">
      <c r="A13" s="10" t="s">
        <v>528</v>
      </c>
      <c r="G13" s="11" t="n">
        <f aca="false">ROUND(AVERAGE(G5:G12),2)</f>
        <v>2.5</v>
      </c>
      <c r="H13" s="12" t="s">
        <v>529</v>
      </c>
      <c r="I13" s="11" t="n">
        <f aca="false">ROUND(AVERAGE(I5:I12),2)</f>
        <v>3.38</v>
      </c>
      <c r="J13" s="11" t="n">
        <f aca="false">ROUND(AVERAGE(J5:J12),2)</f>
        <v>4</v>
      </c>
    </row>
    <row r="15" customFormat="false" ht="19.5" hidden="false" customHeight="true" outlineLevel="0" collapsed="false">
      <c r="A15" s="3" t="s">
        <v>530</v>
      </c>
      <c r="B15" s="4"/>
      <c r="C15" s="4"/>
      <c r="D15" s="4"/>
      <c r="E15" s="4"/>
      <c r="F15" s="4"/>
      <c r="G15" s="4"/>
      <c r="H15" s="4"/>
      <c r="I15" s="4"/>
      <c r="J15" s="4"/>
      <c r="K15" s="4"/>
    </row>
    <row r="16" customFormat="false" ht="45" hidden="false" customHeight="true" outlineLevel="0" collapsed="false">
      <c r="A16" s="8" t="s">
        <v>531</v>
      </c>
      <c r="B16" s="8"/>
      <c r="C16" s="8"/>
      <c r="D16" s="8"/>
      <c r="E16" s="8"/>
      <c r="F16" s="8"/>
      <c r="G16" s="8"/>
      <c r="H16" s="8"/>
      <c r="I16" s="8"/>
      <c r="J16" s="8"/>
      <c r="K16" s="8"/>
    </row>
  </sheetData>
  <mergeCells count="2">
    <mergeCell ref="A2:K2"/>
    <mergeCell ref="A16:K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V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4"/>
    <col collapsed="false" customWidth="true" hidden="false" outlineLevel="0" max="4" min="4" style="0" width="18"/>
    <col collapsed="false" customWidth="true" hidden="false" outlineLevel="0" max="5" min="5" style="0" width="30"/>
    <col collapsed="false" customWidth="true" hidden="false" outlineLevel="0" max="6" min="6" style="0" width="44"/>
    <col collapsed="false" customWidth="true" hidden="false" outlineLevel="0" max="7" min="7" style="0" width="18"/>
    <col collapsed="false" customWidth="true" hidden="false" outlineLevel="0" max="8" min="8" style="0" width="26"/>
    <col collapsed="false" customWidth="true" hidden="false" outlineLevel="0" max="9" min="9" style="0" width="16"/>
    <col collapsed="false" customWidth="true" hidden="false" outlineLevel="0" max="10" min="10" style="0" width="8"/>
    <col collapsed="false" customWidth="true" hidden="false" outlineLevel="0" max="12" min="11" style="0" width="9"/>
    <col collapsed="false" customWidth="true" hidden="false" outlineLevel="0" max="13" min="13" style="0" width="10"/>
    <col collapsed="false" customWidth="true" hidden="false" outlineLevel="0" max="16" min="14" style="0" width="9"/>
    <col collapsed="false" customWidth="true" hidden="false" outlineLevel="0" max="17" min="17" style="0" width="14"/>
    <col collapsed="false" customWidth="true" hidden="false" outlineLevel="0" max="18" min="18" style="0" width="34"/>
    <col collapsed="false" customWidth="true" hidden="false" outlineLevel="0" max="19" min="19" style="0" width="28"/>
    <col collapsed="false" customWidth="true" hidden="false" outlineLevel="0" max="20" min="20" style="0" width="18"/>
    <col collapsed="false" customWidth="true" hidden="true" outlineLevel="0" max="21" min="21" style="0" width="8"/>
    <col collapsed="false" customWidth="true" hidden="false" outlineLevel="0" max="22" min="22" style="0" width="6"/>
  </cols>
  <sheetData>
    <row r="1" customFormat="false" ht="24" hidden="false" customHeight="true" outlineLevel="0" collapsed="false">
      <c r="A1" s="1" t="s">
        <v>532</v>
      </c>
    </row>
    <row r="2" customFormat="false" ht="30" hidden="false" customHeight="true" outlineLevel="0" collapsed="false">
      <c r="A2" s="2" t="s">
        <v>533</v>
      </c>
      <c r="B2" s="2"/>
      <c r="C2" s="2"/>
      <c r="D2" s="2"/>
      <c r="E2" s="2"/>
      <c r="F2" s="2"/>
      <c r="G2" s="2"/>
      <c r="H2" s="2"/>
      <c r="I2" s="2"/>
      <c r="J2" s="2"/>
      <c r="K2" s="2"/>
      <c r="L2" s="2"/>
      <c r="M2" s="2"/>
      <c r="N2" s="2"/>
      <c r="O2" s="2"/>
      <c r="P2" s="2"/>
      <c r="Q2" s="2"/>
      <c r="R2" s="2"/>
      <c r="S2" s="2"/>
      <c r="T2" s="2"/>
    </row>
    <row r="3" customFormat="false" ht="15" hidden="false" customHeight="false" outlineLevel="0" collapsed="false">
      <c r="A3" s="13" t="s">
        <v>534</v>
      </c>
      <c r="B3" s="14" t="s">
        <v>535</v>
      </c>
      <c r="C3" s="15" t="n">
        <v>0.3</v>
      </c>
      <c r="D3" s="14" t="s">
        <v>536</v>
      </c>
      <c r="E3" s="15" t="n">
        <v>0.2</v>
      </c>
      <c r="F3" s="14" t="s">
        <v>537</v>
      </c>
      <c r="G3" s="15" t="n">
        <v>0.15</v>
      </c>
      <c r="H3" s="14" t="s">
        <v>538</v>
      </c>
      <c r="I3" s="15" t="n">
        <v>0.15</v>
      </c>
      <c r="J3" s="14" t="s">
        <v>539</v>
      </c>
      <c r="K3" s="15" t="n">
        <v>0.2</v>
      </c>
      <c r="L3" s="16" t="n">
        <f aca="false">SUM(C3,E3,G3,I3,K3)</f>
        <v>1</v>
      </c>
      <c r="M3" s="14" t="s">
        <v>540</v>
      </c>
      <c r="N3" s="17" t="n">
        <v>77</v>
      </c>
      <c r="O3" s="14" t="s">
        <v>541</v>
      </c>
      <c r="P3" s="17" t="n">
        <v>68</v>
      </c>
      <c r="Q3" s="14" t="s">
        <v>542</v>
      </c>
      <c r="R3" s="17" t="n">
        <v>9</v>
      </c>
    </row>
    <row r="5" customFormat="false" ht="42" hidden="false" customHeight="true" outlineLevel="0" collapsed="false">
      <c r="A5" s="18" t="s">
        <v>543</v>
      </c>
      <c r="B5" s="18" t="s">
        <v>83</v>
      </c>
      <c r="C5" s="18" t="s">
        <v>150</v>
      </c>
      <c r="D5" s="18" t="s">
        <v>225</v>
      </c>
      <c r="E5" s="18" t="s">
        <v>544</v>
      </c>
      <c r="F5" s="18" t="s">
        <v>392</v>
      </c>
      <c r="G5" s="18" t="s">
        <v>545</v>
      </c>
      <c r="H5" s="18" t="s">
        <v>546</v>
      </c>
      <c r="I5" s="18" t="s">
        <v>547</v>
      </c>
      <c r="J5" s="18" t="s">
        <v>548</v>
      </c>
      <c r="K5" s="18" t="s">
        <v>549</v>
      </c>
      <c r="L5" s="18" t="s">
        <v>550</v>
      </c>
      <c r="M5" s="18" t="s">
        <v>551</v>
      </c>
      <c r="N5" s="18" t="s">
        <v>552</v>
      </c>
      <c r="O5" s="18" t="s">
        <v>553</v>
      </c>
      <c r="P5" s="18" t="s">
        <v>554</v>
      </c>
      <c r="Q5" s="18" t="s">
        <v>120</v>
      </c>
      <c r="R5" s="18" t="s">
        <v>555</v>
      </c>
      <c r="S5" s="18" t="s">
        <v>556</v>
      </c>
      <c r="T5" s="18" t="s">
        <v>557</v>
      </c>
      <c r="U5" s="18" t="s">
        <v>558</v>
      </c>
      <c r="V5" s="18" t="s">
        <v>559</v>
      </c>
    </row>
    <row r="6" customFormat="false" ht="63.75" hidden="false" customHeight="true" outlineLevel="0" collapsed="false">
      <c r="A6" s="19" t="s">
        <v>560</v>
      </c>
      <c r="B6" s="19" t="s">
        <v>561</v>
      </c>
      <c r="C6" s="20" t="s">
        <v>562</v>
      </c>
      <c r="D6" s="20" t="s">
        <v>229</v>
      </c>
      <c r="E6" s="20" t="s">
        <v>563</v>
      </c>
      <c r="F6" s="20" t="s">
        <v>564</v>
      </c>
      <c r="G6" s="20" t="s">
        <v>565</v>
      </c>
      <c r="H6" s="20" t="s">
        <v>566</v>
      </c>
      <c r="I6" s="20" t="s">
        <v>567</v>
      </c>
      <c r="J6" s="21" t="n">
        <v>4</v>
      </c>
      <c r="K6" s="21" t="n">
        <v>5</v>
      </c>
      <c r="L6" s="21" t="n">
        <v>4</v>
      </c>
      <c r="M6" s="21" t="n">
        <v>2</v>
      </c>
      <c r="N6" s="21" t="n">
        <v>6</v>
      </c>
      <c r="O6" s="21" t="n">
        <v>5</v>
      </c>
      <c r="P6" s="22" t="n">
        <f aca="false">ROUND((J6*$C$3+K6*$E$3+L6*$G$3+(6-M6)*$I$3+O6*$K$3)/$L$3*20,1)</f>
        <v>88</v>
      </c>
      <c r="Q6" s="19" t="str">
        <f aca="false">IF(AND(P6&gt;=$N$3,N6&lt;=$R$3),"Now (0-12m)",IF(P6&gt;=$P$3,"Next (12-24m)","Later (24-36m)"))</f>
        <v>Now (0-12m)</v>
      </c>
      <c r="R6" s="20" t="s">
        <v>568</v>
      </c>
      <c r="S6" s="20" t="s">
        <v>569</v>
      </c>
      <c r="T6" s="20" t="s">
        <v>570</v>
      </c>
      <c r="U6" s="23" t="n">
        <f aca="false">P6+ROW()/100000</f>
        <v>88.00006</v>
      </c>
      <c r="V6" s="24" t="n">
        <f aca="false">RANK(U6,$U$6:$U$45,0)</f>
        <v>4</v>
      </c>
    </row>
    <row r="7" customFormat="false" ht="63.75" hidden="false" customHeight="true" outlineLevel="0" collapsed="false">
      <c r="A7" s="19" t="s">
        <v>571</v>
      </c>
      <c r="B7" s="19" t="s">
        <v>561</v>
      </c>
      <c r="C7" s="20" t="s">
        <v>572</v>
      </c>
      <c r="D7" s="20" t="s">
        <v>229</v>
      </c>
      <c r="E7" s="20" t="s">
        <v>573</v>
      </c>
      <c r="F7" s="20" t="s">
        <v>574</v>
      </c>
      <c r="G7" s="20" t="s">
        <v>575</v>
      </c>
      <c r="H7" s="20" t="s">
        <v>576</v>
      </c>
      <c r="I7" s="20" t="s">
        <v>577</v>
      </c>
      <c r="J7" s="21" t="n">
        <v>4</v>
      </c>
      <c r="K7" s="21" t="n">
        <v>4</v>
      </c>
      <c r="L7" s="21" t="n">
        <v>3</v>
      </c>
      <c r="M7" s="21" t="n">
        <v>2</v>
      </c>
      <c r="N7" s="21" t="n">
        <v>6</v>
      </c>
      <c r="O7" s="21" t="n">
        <v>4</v>
      </c>
      <c r="P7" s="22" t="n">
        <f aca="false">ROUND((J7*$C$3+K7*$E$3+L7*$G$3+(6-M7)*$I$3+O7*$K$3)/$L$3*20,1)</f>
        <v>77</v>
      </c>
      <c r="Q7" s="19" t="str">
        <f aca="false">IF(AND(P7&gt;=$N$3,N7&lt;=$R$3),"Now (0-12m)",IF(P7&gt;=$P$3,"Next (12-24m)","Later (24-36m)"))</f>
        <v>Now (0-12m)</v>
      </c>
      <c r="R7" s="20" t="s">
        <v>578</v>
      </c>
      <c r="S7" s="20" t="s">
        <v>579</v>
      </c>
      <c r="T7" s="20" t="s">
        <v>580</v>
      </c>
      <c r="U7" s="23" t="n">
        <f aca="false">P7+ROW()/100000</f>
        <v>77.00007</v>
      </c>
      <c r="V7" s="24" t="n">
        <f aca="false">RANK(U7,$U$6:$U$45,0)</f>
        <v>22</v>
      </c>
    </row>
    <row r="8" customFormat="false" ht="63.75" hidden="false" customHeight="true" outlineLevel="0" collapsed="false">
      <c r="A8" s="19" t="s">
        <v>581</v>
      </c>
      <c r="B8" s="19" t="s">
        <v>561</v>
      </c>
      <c r="C8" s="20" t="s">
        <v>157</v>
      </c>
      <c r="D8" s="20" t="s">
        <v>582</v>
      </c>
      <c r="E8" s="20" t="s">
        <v>583</v>
      </c>
      <c r="F8" s="20" t="s">
        <v>584</v>
      </c>
      <c r="G8" s="20" t="s">
        <v>585</v>
      </c>
      <c r="H8" s="20" t="s">
        <v>586</v>
      </c>
      <c r="I8" s="20" t="s">
        <v>587</v>
      </c>
      <c r="J8" s="21" t="n">
        <v>5</v>
      </c>
      <c r="K8" s="21" t="n">
        <v>4</v>
      </c>
      <c r="L8" s="21" t="n">
        <v>4</v>
      </c>
      <c r="M8" s="21" t="n">
        <v>2</v>
      </c>
      <c r="N8" s="21" t="n">
        <v>6</v>
      </c>
      <c r="O8" s="21" t="n">
        <v>5</v>
      </c>
      <c r="P8" s="22" t="n">
        <f aca="false">ROUND((J8*$C$3+K8*$E$3+L8*$G$3+(6-M8)*$I$3+O8*$K$3)/$L$3*20,1)</f>
        <v>90</v>
      </c>
      <c r="Q8" s="19" t="str">
        <f aca="false">IF(AND(P8&gt;=$N$3,N8&lt;=$R$3),"Now (0-12m)",IF(P8&gt;=$P$3,"Next (12-24m)","Later (24-36m)"))</f>
        <v>Now (0-12m)</v>
      </c>
      <c r="R8" s="20" t="s">
        <v>588</v>
      </c>
      <c r="S8" s="20" t="s">
        <v>589</v>
      </c>
      <c r="T8" s="20" t="s">
        <v>590</v>
      </c>
      <c r="U8" s="23" t="n">
        <f aca="false">P8+ROW()/100000</f>
        <v>90.00008</v>
      </c>
      <c r="V8" s="24" t="n">
        <f aca="false">RANK(U8,$U$6:$U$45,0)</f>
        <v>3</v>
      </c>
    </row>
    <row r="9" customFormat="false" ht="63.75" hidden="false" customHeight="true" outlineLevel="0" collapsed="false">
      <c r="A9" s="19" t="s">
        <v>591</v>
      </c>
      <c r="B9" s="19" t="s">
        <v>561</v>
      </c>
      <c r="C9" s="20" t="s">
        <v>375</v>
      </c>
      <c r="D9" s="20" t="s">
        <v>259</v>
      </c>
      <c r="E9" s="20" t="s">
        <v>592</v>
      </c>
      <c r="F9" s="20" t="s">
        <v>593</v>
      </c>
      <c r="G9" s="20" t="s">
        <v>594</v>
      </c>
      <c r="H9" s="20" t="s">
        <v>595</v>
      </c>
      <c r="I9" s="20" t="s">
        <v>596</v>
      </c>
      <c r="J9" s="21" t="n">
        <v>3</v>
      </c>
      <c r="K9" s="21" t="n">
        <v>5</v>
      </c>
      <c r="L9" s="21" t="n">
        <v>4</v>
      </c>
      <c r="M9" s="21" t="n">
        <v>1</v>
      </c>
      <c r="N9" s="21" t="n">
        <v>3</v>
      </c>
      <c r="O9" s="21" t="n">
        <v>3</v>
      </c>
      <c r="P9" s="22" t="n">
        <f aca="false">ROUND((J9*$C$3+K9*$E$3+L9*$G$3+(6-M9)*$I$3+O9*$K$3)/$L$3*20,1)</f>
        <v>77</v>
      </c>
      <c r="Q9" s="19" t="str">
        <f aca="false">IF(AND(P9&gt;=$N$3,N9&lt;=$R$3),"Now (0-12m)",IF(P9&gt;=$P$3,"Next (12-24m)","Later (24-36m)"))</f>
        <v>Now (0-12m)</v>
      </c>
      <c r="R9" s="20" t="s">
        <v>597</v>
      </c>
      <c r="S9" s="20" t="s">
        <v>598</v>
      </c>
      <c r="T9" s="20" t="s">
        <v>599</v>
      </c>
      <c r="U9" s="23" t="n">
        <f aca="false">P9+ROW()/100000</f>
        <v>77.00009</v>
      </c>
      <c r="V9" s="24" t="n">
        <f aca="false">RANK(U9,$U$6:$U$45,0)</f>
        <v>21</v>
      </c>
    </row>
    <row r="10" customFormat="false" ht="63.75" hidden="false" customHeight="true" outlineLevel="0" collapsed="false">
      <c r="A10" s="19" t="s">
        <v>600</v>
      </c>
      <c r="B10" s="19" t="s">
        <v>561</v>
      </c>
      <c r="C10" s="20" t="s">
        <v>375</v>
      </c>
      <c r="D10" s="20" t="s">
        <v>601</v>
      </c>
      <c r="E10" s="20" t="s">
        <v>602</v>
      </c>
      <c r="F10" s="20" t="s">
        <v>603</v>
      </c>
      <c r="G10" s="20" t="s">
        <v>565</v>
      </c>
      <c r="H10" s="20" t="s">
        <v>604</v>
      </c>
      <c r="I10" s="20" t="s">
        <v>605</v>
      </c>
      <c r="J10" s="21" t="n">
        <v>3</v>
      </c>
      <c r="K10" s="21" t="n">
        <v>4</v>
      </c>
      <c r="L10" s="21" t="n">
        <v>3</v>
      </c>
      <c r="M10" s="21" t="n">
        <v>2</v>
      </c>
      <c r="N10" s="21" t="n">
        <v>9</v>
      </c>
      <c r="O10" s="21" t="n">
        <v>4</v>
      </c>
      <c r="P10" s="22" t="n">
        <f aca="false">ROUND((J10*$C$3+K10*$E$3+L10*$G$3+(6-M10)*$I$3+O10*$K$3)/$L$3*20,1)</f>
        <v>71</v>
      </c>
      <c r="Q10" s="19" t="str">
        <f aca="false">IF(AND(P10&gt;=$N$3,N10&lt;=$R$3),"Now (0-12m)",IF(P10&gt;=$P$3,"Next (12-24m)","Later (24-36m)"))</f>
        <v>Next (12-24m)</v>
      </c>
      <c r="R10" s="20" t="s">
        <v>606</v>
      </c>
      <c r="S10" s="20" t="s">
        <v>607</v>
      </c>
      <c r="T10" s="20" t="s">
        <v>608</v>
      </c>
      <c r="U10" s="23" t="n">
        <f aca="false">P10+ROW()/100000</f>
        <v>71.0001</v>
      </c>
      <c r="V10" s="24" t="n">
        <f aca="false">RANK(U10,$U$6:$U$45,0)</f>
        <v>32</v>
      </c>
    </row>
    <row r="11" customFormat="false" ht="63.75" hidden="false" customHeight="true" outlineLevel="0" collapsed="false">
      <c r="A11" s="19" t="s">
        <v>609</v>
      </c>
      <c r="B11" s="19" t="s">
        <v>561</v>
      </c>
      <c r="C11" s="20" t="s">
        <v>610</v>
      </c>
      <c r="D11" s="20" t="s">
        <v>611</v>
      </c>
      <c r="E11" s="20" t="s">
        <v>612</v>
      </c>
      <c r="F11" s="20" t="s">
        <v>613</v>
      </c>
      <c r="G11" s="20" t="s">
        <v>614</v>
      </c>
      <c r="H11" s="20" t="s">
        <v>615</v>
      </c>
      <c r="I11" s="20" t="s">
        <v>616</v>
      </c>
      <c r="J11" s="21" t="n">
        <v>4</v>
      </c>
      <c r="K11" s="21" t="n">
        <v>5</v>
      </c>
      <c r="L11" s="21" t="n">
        <v>4</v>
      </c>
      <c r="M11" s="21" t="n">
        <v>2</v>
      </c>
      <c r="N11" s="21" t="n">
        <v>3</v>
      </c>
      <c r="O11" s="21" t="n">
        <v>4</v>
      </c>
      <c r="P11" s="22" t="n">
        <f aca="false">ROUND((J11*$C$3+K11*$E$3+L11*$G$3+(6-M11)*$I$3+O11*$K$3)/$L$3*20,1)</f>
        <v>84</v>
      </c>
      <c r="Q11" s="19" t="str">
        <f aca="false">IF(AND(P11&gt;=$N$3,N11&lt;=$R$3),"Now (0-12m)",IF(P11&gt;=$P$3,"Next (12-24m)","Later (24-36m)"))</f>
        <v>Now (0-12m)</v>
      </c>
      <c r="R11" s="20" t="s">
        <v>617</v>
      </c>
      <c r="S11" s="20" t="s">
        <v>618</v>
      </c>
      <c r="T11" s="20" t="s">
        <v>619</v>
      </c>
      <c r="U11" s="23" t="n">
        <f aca="false">P11+ROW()/100000</f>
        <v>84.00011</v>
      </c>
      <c r="V11" s="24" t="n">
        <f aca="false">RANK(U11,$U$6:$U$45,0)</f>
        <v>9</v>
      </c>
    </row>
    <row r="12" customFormat="false" ht="63.75" hidden="false" customHeight="true" outlineLevel="0" collapsed="false">
      <c r="A12" s="19" t="s">
        <v>620</v>
      </c>
      <c r="B12" s="19" t="s">
        <v>561</v>
      </c>
      <c r="C12" s="20" t="s">
        <v>375</v>
      </c>
      <c r="D12" s="20" t="s">
        <v>611</v>
      </c>
      <c r="E12" s="20" t="s">
        <v>621</v>
      </c>
      <c r="F12" s="20" t="s">
        <v>622</v>
      </c>
      <c r="G12" s="20" t="s">
        <v>623</v>
      </c>
      <c r="H12" s="20" t="s">
        <v>624</v>
      </c>
      <c r="I12" s="20" t="s">
        <v>625</v>
      </c>
      <c r="J12" s="21" t="n">
        <v>4</v>
      </c>
      <c r="K12" s="21" t="n">
        <v>3</v>
      </c>
      <c r="L12" s="21" t="n">
        <v>2</v>
      </c>
      <c r="M12" s="21" t="n">
        <v>3</v>
      </c>
      <c r="N12" s="21" t="n">
        <v>12</v>
      </c>
      <c r="O12" s="21" t="n">
        <v>4</v>
      </c>
      <c r="P12" s="22" t="n">
        <f aca="false">ROUND((J12*$C$3+K12*$E$3+L12*$G$3+(6-M12)*$I$3+O12*$K$3)/$L$3*20,1)</f>
        <v>67</v>
      </c>
      <c r="Q12" s="19" t="str">
        <f aca="false">IF(AND(P12&gt;=$N$3,N12&lt;=$R$3),"Now (0-12m)",IF(P12&gt;=$P$3,"Next (12-24m)","Later (24-36m)"))</f>
        <v>Later (24-36m)</v>
      </c>
      <c r="R12" s="20" t="s">
        <v>626</v>
      </c>
      <c r="S12" s="20" t="s">
        <v>627</v>
      </c>
      <c r="T12" s="20" t="s">
        <v>628</v>
      </c>
      <c r="U12" s="23" t="n">
        <f aca="false">P12+ROW()/100000</f>
        <v>67.00012</v>
      </c>
      <c r="V12" s="24" t="n">
        <f aca="false">RANK(U12,$U$6:$U$45,0)</f>
        <v>36</v>
      </c>
    </row>
    <row r="13" customFormat="false" ht="63.75" hidden="false" customHeight="true" outlineLevel="0" collapsed="false">
      <c r="A13" s="19" t="s">
        <v>629</v>
      </c>
      <c r="B13" s="19" t="s">
        <v>630</v>
      </c>
      <c r="C13" s="20" t="s">
        <v>631</v>
      </c>
      <c r="D13" s="20" t="s">
        <v>632</v>
      </c>
      <c r="E13" s="20" t="s">
        <v>633</v>
      </c>
      <c r="F13" s="20" t="s">
        <v>634</v>
      </c>
      <c r="G13" s="20" t="s">
        <v>409</v>
      </c>
      <c r="H13" s="20" t="s">
        <v>635</v>
      </c>
      <c r="I13" s="20" t="s">
        <v>636</v>
      </c>
      <c r="J13" s="21" t="n">
        <v>5</v>
      </c>
      <c r="K13" s="21" t="n">
        <v>4</v>
      </c>
      <c r="L13" s="21" t="n">
        <v>4</v>
      </c>
      <c r="M13" s="21" t="n">
        <v>3</v>
      </c>
      <c r="N13" s="21" t="n">
        <v>9</v>
      </c>
      <c r="O13" s="21" t="n">
        <v>5</v>
      </c>
      <c r="P13" s="22" t="n">
        <f aca="false">ROUND((J13*$C$3+K13*$E$3+L13*$G$3+(6-M13)*$I$3+O13*$K$3)/$L$3*20,1)</f>
        <v>87</v>
      </c>
      <c r="Q13" s="19" t="str">
        <f aca="false">IF(AND(P13&gt;=$N$3,N13&lt;=$R$3),"Now (0-12m)",IF(P13&gt;=$P$3,"Next (12-24m)","Later (24-36m)"))</f>
        <v>Now (0-12m)</v>
      </c>
      <c r="R13" s="20" t="s">
        <v>637</v>
      </c>
      <c r="S13" s="20" t="s">
        <v>638</v>
      </c>
      <c r="T13" s="20" t="s">
        <v>639</v>
      </c>
      <c r="U13" s="23" t="n">
        <f aca="false">P13+ROW()/100000</f>
        <v>87.00013</v>
      </c>
      <c r="V13" s="24" t="n">
        <f aca="false">RANK(U13,$U$6:$U$45,0)</f>
        <v>7</v>
      </c>
    </row>
    <row r="14" customFormat="false" ht="63.75" hidden="false" customHeight="true" outlineLevel="0" collapsed="false">
      <c r="A14" s="19" t="s">
        <v>640</v>
      </c>
      <c r="B14" s="19" t="s">
        <v>630</v>
      </c>
      <c r="C14" s="20" t="s">
        <v>631</v>
      </c>
      <c r="D14" s="20" t="s">
        <v>632</v>
      </c>
      <c r="E14" s="20" t="s">
        <v>641</v>
      </c>
      <c r="F14" s="20" t="s">
        <v>642</v>
      </c>
      <c r="G14" s="20" t="s">
        <v>643</v>
      </c>
      <c r="H14" s="20" t="s">
        <v>644</v>
      </c>
      <c r="I14" s="20" t="s">
        <v>645</v>
      </c>
      <c r="J14" s="21" t="n">
        <v>5</v>
      </c>
      <c r="K14" s="21" t="n">
        <v>3</v>
      </c>
      <c r="L14" s="21" t="n">
        <v>3</v>
      </c>
      <c r="M14" s="21" t="n">
        <v>3</v>
      </c>
      <c r="N14" s="21" t="n">
        <v>12</v>
      </c>
      <c r="O14" s="21" t="n">
        <v>5</v>
      </c>
      <c r="P14" s="22" t="n">
        <f aca="false">ROUND((J14*$C$3+K14*$E$3+L14*$G$3+(6-M14)*$I$3+O14*$K$3)/$L$3*20,1)</f>
        <v>80</v>
      </c>
      <c r="Q14" s="19" t="str">
        <f aca="false">IF(AND(P14&gt;=$N$3,N14&lt;=$R$3),"Now (0-12m)",IF(P14&gt;=$P$3,"Next (12-24m)","Later (24-36m)"))</f>
        <v>Next (12-24m)</v>
      </c>
      <c r="R14" s="20" t="s">
        <v>646</v>
      </c>
      <c r="S14" s="20" t="s">
        <v>647</v>
      </c>
      <c r="T14" s="20" t="s">
        <v>639</v>
      </c>
      <c r="U14" s="23" t="n">
        <f aca="false">P14+ROW()/100000</f>
        <v>80.00014</v>
      </c>
      <c r="V14" s="24" t="n">
        <f aca="false">RANK(U14,$U$6:$U$45,0)</f>
        <v>16</v>
      </c>
    </row>
    <row r="15" customFormat="false" ht="63.75" hidden="false" customHeight="true" outlineLevel="0" collapsed="false">
      <c r="A15" s="19" t="s">
        <v>648</v>
      </c>
      <c r="B15" s="19" t="s">
        <v>630</v>
      </c>
      <c r="C15" s="20" t="s">
        <v>157</v>
      </c>
      <c r="D15" s="20" t="s">
        <v>649</v>
      </c>
      <c r="E15" s="20" t="s">
        <v>650</v>
      </c>
      <c r="F15" s="20" t="s">
        <v>651</v>
      </c>
      <c r="G15" s="20" t="s">
        <v>652</v>
      </c>
      <c r="H15" s="20" t="s">
        <v>653</v>
      </c>
      <c r="I15" s="20" t="s">
        <v>654</v>
      </c>
      <c r="J15" s="21" t="n">
        <v>5</v>
      </c>
      <c r="K15" s="21" t="n">
        <v>3</v>
      </c>
      <c r="L15" s="21" t="n">
        <v>4</v>
      </c>
      <c r="M15" s="21" t="n">
        <v>4</v>
      </c>
      <c r="N15" s="21" t="n">
        <v>12</v>
      </c>
      <c r="O15" s="21" t="n">
        <v>5</v>
      </c>
      <c r="P15" s="22" t="n">
        <f aca="false">ROUND((J15*$C$3+K15*$E$3+L15*$G$3+(6-M15)*$I$3+O15*$K$3)/$L$3*20,1)</f>
        <v>80</v>
      </c>
      <c r="Q15" s="19" t="str">
        <f aca="false">IF(AND(P15&gt;=$N$3,N15&lt;=$R$3),"Now (0-12m)",IF(P15&gt;=$P$3,"Next (12-24m)","Later (24-36m)"))</f>
        <v>Next (12-24m)</v>
      </c>
      <c r="R15" s="20" t="s">
        <v>655</v>
      </c>
      <c r="S15" s="20" t="s">
        <v>656</v>
      </c>
      <c r="T15" s="20" t="s">
        <v>657</v>
      </c>
      <c r="U15" s="23" t="n">
        <f aca="false">P15+ROW()/100000</f>
        <v>80.00015</v>
      </c>
      <c r="V15" s="24" t="n">
        <f aca="false">RANK(U15,$U$6:$U$45,0)</f>
        <v>15</v>
      </c>
    </row>
    <row r="16" customFormat="false" ht="63.75" hidden="false" customHeight="true" outlineLevel="0" collapsed="false">
      <c r="A16" s="19" t="s">
        <v>658</v>
      </c>
      <c r="B16" s="19" t="s">
        <v>630</v>
      </c>
      <c r="C16" s="20" t="s">
        <v>659</v>
      </c>
      <c r="D16" s="20" t="s">
        <v>660</v>
      </c>
      <c r="E16" s="20" t="s">
        <v>661</v>
      </c>
      <c r="F16" s="20" t="s">
        <v>662</v>
      </c>
      <c r="G16" s="20" t="s">
        <v>663</v>
      </c>
      <c r="H16" s="20" t="s">
        <v>664</v>
      </c>
      <c r="I16" s="20" t="s">
        <v>665</v>
      </c>
      <c r="J16" s="21" t="n">
        <v>4</v>
      </c>
      <c r="K16" s="21" t="n">
        <v>4</v>
      </c>
      <c r="L16" s="21" t="n">
        <v>3</v>
      </c>
      <c r="M16" s="21" t="n">
        <v>3</v>
      </c>
      <c r="N16" s="21" t="n">
        <v>9</v>
      </c>
      <c r="O16" s="21" t="n">
        <v>5</v>
      </c>
      <c r="P16" s="22" t="n">
        <f aca="false">ROUND((J16*$C$3+K16*$E$3+L16*$G$3+(6-M16)*$I$3+O16*$K$3)/$L$3*20,1)</f>
        <v>78</v>
      </c>
      <c r="Q16" s="19" t="str">
        <f aca="false">IF(AND(P16&gt;=$N$3,N16&lt;=$R$3),"Now (0-12m)",IF(P16&gt;=$P$3,"Next (12-24m)","Later (24-36m)"))</f>
        <v>Now (0-12m)</v>
      </c>
      <c r="R16" s="20" t="s">
        <v>666</v>
      </c>
      <c r="S16" s="20" t="s">
        <v>667</v>
      </c>
      <c r="T16" s="20" t="s">
        <v>668</v>
      </c>
      <c r="U16" s="23" t="n">
        <f aca="false">P16+ROW()/100000</f>
        <v>78.00016</v>
      </c>
      <c r="V16" s="24" t="n">
        <f aca="false">RANK(U16,$U$6:$U$45,0)</f>
        <v>17</v>
      </c>
    </row>
    <row r="17" customFormat="false" ht="63.75" hidden="false" customHeight="true" outlineLevel="0" collapsed="false">
      <c r="A17" s="19" t="s">
        <v>669</v>
      </c>
      <c r="B17" s="19" t="s">
        <v>630</v>
      </c>
      <c r="C17" s="20" t="s">
        <v>670</v>
      </c>
      <c r="D17" s="20" t="s">
        <v>259</v>
      </c>
      <c r="E17" s="20" t="s">
        <v>671</v>
      </c>
      <c r="F17" s="20" t="s">
        <v>672</v>
      </c>
      <c r="G17" s="20" t="s">
        <v>673</v>
      </c>
      <c r="H17" s="20" t="s">
        <v>674</v>
      </c>
      <c r="I17" s="20" t="s">
        <v>587</v>
      </c>
      <c r="J17" s="21" t="n">
        <v>4</v>
      </c>
      <c r="K17" s="21" t="n">
        <v>5</v>
      </c>
      <c r="L17" s="21" t="n">
        <v>4</v>
      </c>
      <c r="M17" s="21" t="n">
        <v>3</v>
      </c>
      <c r="N17" s="21" t="n">
        <v>6</v>
      </c>
      <c r="O17" s="21" t="n">
        <v>5</v>
      </c>
      <c r="P17" s="22" t="n">
        <f aca="false">ROUND((J17*$C$3+K17*$E$3+L17*$G$3+(6-M17)*$I$3+O17*$K$3)/$L$3*20,1)</f>
        <v>85</v>
      </c>
      <c r="Q17" s="19" t="str">
        <f aca="false">IF(AND(P17&gt;=$N$3,N17&lt;=$R$3),"Now (0-12m)",IF(P17&gt;=$P$3,"Next (12-24m)","Later (24-36m)"))</f>
        <v>Now (0-12m)</v>
      </c>
      <c r="R17" s="20" t="s">
        <v>675</v>
      </c>
      <c r="S17" s="20" t="s">
        <v>676</v>
      </c>
      <c r="T17" s="20" t="s">
        <v>677</v>
      </c>
      <c r="U17" s="23" t="n">
        <f aca="false">P17+ROW()/100000</f>
        <v>85.00017</v>
      </c>
      <c r="V17" s="24" t="n">
        <f aca="false">RANK(U17,$U$6:$U$45,0)</f>
        <v>8</v>
      </c>
    </row>
    <row r="18" customFormat="false" ht="63.75" hidden="false" customHeight="true" outlineLevel="0" collapsed="false">
      <c r="A18" s="19" t="s">
        <v>678</v>
      </c>
      <c r="B18" s="19" t="s">
        <v>630</v>
      </c>
      <c r="C18" s="20" t="s">
        <v>157</v>
      </c>
      <c r="D18" s="20" t="s">
        <v>679</v>
      </c>
      <c r="E18" s="20" t="s">
        <v>680</v>
      </c>
      <c r="F18" s="20" t="s">
        <v>681</v>
      </c>
      <c r="G18" s="20" t="s">
        <v>415</v>
      </c>
      <c r="H18" s="20" t="s">
        <v>682</v>
      </c>
      <c r="I18" s="20" t="s">
        <v>683</v>
      </c>
      <c r="J18" s="21" t="n">
        <v>5</v>
      </c>
      <c r="K18" s="21" t="n">
        <v>3</v>
      </c>
      <c r="L18" s="21" t="n">
        <v>3</v>
      </c>
      <c r="M18" s="21" t="n">
        <v>4</v>
      </c>
      <c r="N18" s="21" t="n">
        <v>12</v>
      </c>
      <c r="O18" s="21" t="n">
        <v>4</v>
      </c>
      <c r="P18" s="22" t="n">
        <f aca="false">ROUND((J18*$C$3+K18*$E$3+L18*$G$3+(6-M18)*$I$3+O18*$K$3)/$L$3*20,1)</f>
        <v>73</v>
      </c>
      <c r="Q18" s="19" t="str">
        <f aca="false">IF(AND(P18&gt;=$N$3,N18&lt;=$R$3),"Now (0-12m)",IF(P18&gt;=$P$3,"Next (12-24m)","Later (24-36m)"))</f>
        <v>Next (12-24m)</v>
      </c>
      <c r="R18" s="20" t="s">
        <v>684</v>
      </c>
      <c r="S18" s="20" t="s">
        <v>685</v>
      </c>
      <c r="T18" s="20" t="s">
        <v>686</v>
      </c>
      <c r="U18" s="23" t="n">
        <f aca="false">P18+ROW()/100000</f>
        <v>73.00018</v>
      </c>
      <c r="V18" s="24" t="n">
        <f aca="false">RANK(U18,$U$6:$U$45,0)</f>
        <v>28</v>
      </c>
    </row>
    <row r="19" customFormat="false" ht="63.75" hidden="false" customHeight="true" outlineLevel="0" collapsed="false">
      <c r="A19" s="19" t="s">
        <v>687</v>
      </c>
      <c r="B19" s="19" t="s">
        <v>630</v>
      </c>
      <c r="C19" s="20" t="s">
        <v>688</v>
      </c>
      <c r="D19" s="20" t="s">
        <v>689</v>
      </c>
      <c r="E19" s="20" t="s">
        <v>690</v>
      </c>
      <c r="F19" s="20" t="s">
        <v>691</v>
      </c>
      <c r="G19" s="20" t="s">
        <v>692</v>
      </c>
      <c r="H19" s="20" t="s">
        <v>693</v>
      </c>
      <c r="I19" s="20" t="s">
        <v>694</v>
      </c>
      <c r="J19" s="21" t="n">
        <v>4</v>
      </c>
      <c r="K19" s="21" t="n">
        <v>4</v>
      </c>
      <c r="L19" s="21" t="n">
        <v>3</v>
      </c>
      <c r="M19" s="21" t="n">
        <v>4</v>
      </c>
      <c r="N19" s="21" t="n">
        <v>9</v>
      </c>
      <c r="O19" s="21" t="n">
        <v>5</v>
      </c>
      <c r="P19" s="22" t="n">
        <f aca="false">ROUND((J19*$C$3+K19*$E$3+L19*$G$3+(6-M19)*$I$3+O19*$K$3)/$L$3*20,1)</f>
        <v>75</v>
      </c>
      <c r="Q19" s="19" t="str">
        <f aca="false">IF(AND(P19&gt;=$N$3,N19&lt;=$R$3),"Now (0-12m)",IF(P19&gt;=$P$3,"Next (12-24m)","Later (24-36m)"))</f>
        <v>Next (12-24m)</v>
      </c>
      <c r="R19" s="20" t="s">
        <v>695</v>
      </c>
      <c r="S19" s="20" t="s">
        <v>696</v>
      </c>
      <c r="T19" s="20" t="s">
        <v>697</v>
      </c>
      <c r="U19" s="23" t="n">
        <f aca="false">P19+ROW()/100000</f>
        <v>75.00019</v>
      </c>
      <c r="V19" s="24" t="n">
        <f aca="false">RANK(U19,$U$6:$U$45,0)</f>
        <v>24</v>
      </c>
    </row>
    <row r="20" customFormat="false" ht="63.75" hidden="false" customHeight="true" outlineLevel="0" collapsed="false">
      <c r="A20" s="19" t="s">
        <v>698</v>
      </c>
      <c r="B20" s="19" t="s">
        <v>630</v>
      </c>
      <c r="C20" s="20" t="s">
        <v>688</v>
      </c>
      <c r="D20" s="20" t="s">
        <v>699</v>
      </c>
      <c r="E20" s="20" t="s">
        <v>700</v>
      </c>
      <c r="F20" s="20" t="s">
        <v>701</v>
      </c>
      <c r="G20" s="20" t="s">
        <v>663</v>
      </c>
      <c r="H20" s="20" t="s">
        <v>702</v>
      </c>
      <c r="I20" s="20" t="s">
        <v>703</v>
      </c>
      <c r="J20" s="21" t="n">
        <v>4</v>
      </c>
      <c r="K20" s="21" t="n">
        <v>4</v>
      </c>
      <c r="L20" s="21" t="n">
        <v>3</v>
      </c>
      <c r="M20" s="21" t="n">
        <v>4</v>
      </c>
      <c r="N20" s="21" t="n">
        <v>9</v>
      </c>
      <c r="O20" s="21" t="n">
        <v>4</v>
      </c>
      <c r="P20" s="22" t="n">
        <f aca="false">ROUND((J20*$C$3+K20*$E$3+L20*$G$3+(6-M20)*$I$3+O20*$K$3)/$L$3*20,1)</f>
        <v>71</v>
      </c>
      <c r="Q20" s="19" t="str">
        <f aca="false">IF(AND(P20&gt;=$N$3,N20&lt;=$R$3),"Now (0-12m)",IF(P20&gt;=$P$3,"Next (12-24m)","Later (24-36m)"))</f>
        <v>Next (12-24m)</v>
      </c>
      <c r="R20" s="20" t="s">
        <v>704</v>
      </c>
      <c r="S20" s="20" t="s">
        <v>705</v>
      </c>
      <c r="T20" s="20" t="s">
        <v>697</v>
      </c>
      <c r="U20" s="23" t="n">
        <f aca="false">P20+ROW()/100000</f>
        <v>71.0002</v>
      </c>
      <c r="V20" s="24" t="n">
        <f aca="false">RANK(U20,$U$6:$U$45,0)</f>
        <v>31</v>
      </c>
    </row>
    <row r="21" customFormat="false" ht="63.75" hidden="false" customHeight="true" outlineLevel="0" collapsed="false">
      <c r="A21" s="19" t="s">
        <v>706</v>
      </c>
      <c r="B21" s="19" t="s">
        <v>630</v>
      </c>
      <c r="C21" s="20" t="s">
        <v>157</v>
      </c>
      <c r="D21" s="20" t="s">
        <v>707</v>
      </c>
      <c r="E21" s="20" t="s">
        <v>708</v>
      </c>
      <c r="F21" s="20" t="s">
        <v>709</v>
      </c>
      <c r="G21" s="20" t="s">
        <v>710</v>
      </c>
      <c r="H21" s="20" t="s">
        <v>711</v>
      </c>
      <c r="I21" s="20" t="s">
        <v>712</v>
      </c>
      <c r="J21" s="21" t="n">
        <v>4</v>
      </c>
      <c r="K21" s="21" t="n">
        <v>2</v>
      </c>
      <c r="L21" s="21" t="n">
        <v>3</v>
      </c>
      <c r="M21" s="21" t="n">
        <v>5</v>
      </c>
      <c r="N21" s="21" t="n">
        <v>18</v>
      </c>
      <c r="O21" s="21" t="n">
        <v>4</v>
      </c>
      <c r="P21" s="22" t="n">
        <f aca="false">ROUND((J21*$C$3+K21*$E$3+L21*$G$3+(6-M21)*$I$3+O21*$K$3)/$L$3*20,1)</f>
        <v>60</v>
      </c>
      <c r="Q21" s="19" t="str">
        <f aca="false">IF(AND(P21&gt;=$N$3,N21&lt;=$R$3),"Now (0-12m)",IF(P21&gt;=$P$3,"Next (12-24m)","Later (24-36m)"))</f>
        <v>Later (24-36m)</v>
      </c>
      <c r="R21" s="20" t="s">
        <v>713</v>
      </c>
      <c r="S21" s="20" t="s">
        <v>714</v>
      </c>
      <c r="T21" s="20" t="s">
        <v>715</v>
      </c>
      <c r="U21" s="23" t="n">
        <f aca="false">P21+ROW()/100000</f>
        <v>60.00021</v>
      </c>
      <c r="V21" s="24" t="n">
        <f aca="false">RANK(U21,$U$6:$U$45,0)</f>
        <v>40</v>
      </c>
    </row>
    <row r="22" customFormat="false" ht="63.75" hidden="false" customHeight="true" outlineLevel="0" collapsed="false">
      <c r="A22" s="19" t="s">
        <v>716</v>
      </c>
      <c r="B22" s="19" t="s">
        <v>630</v>
      </c>
      <c r="C22" s="20" t="s">
        <v>175</v>
      </c>
      <c r="D22" s="20" t="s">
        <v>717</v>
      </c>
      <c r="E22" s="20" t="s">
        <v>718</v>
      </c>
      <c r="F22" s="20" t="s">
        <v>719</v>
      </c>
      <c r="G22" s="20" t="s">
        <v>720</v>
      </c>
      <c r="H22" s="20" t="s">
        <v>721</v>
      </c>
      <c r="I22" s="20" t="s">
        <v>694</v>
      </c>
      <c r="J22" s="21" t="n">
        <v>4</v>
      </c>
      <c r="K22" s="21" t="n">
        <v>4</v>
      </c>
      <c r="L22" s="21" t="n">
        <v>3</v>
      </c>
      <c r="M22" s="21" t="n">
        <v>3</v>
      </c>
      <c r="N22" s="21" t="n">
        <v>9</v>
      </c>
      <c r="O22" s="21" t="n">
        <v>4</v>
      </c>
      <c r="P22" s="22" t="n">
        <f aca="false">ROUND((J22*$C$3+K22*$E$3+L22*$G$3+(6-M22)*$I$3+O22*$K$3)/$L$3*20,1)</f>
        <v>74</v>
      </c>
      <c r="Q22" s="19" t="str">
        <f aca="false">IF(AND(P22&gt;=$N$3,N22&lt;=$R$3),"Now (0-12m)",IF(P22&gt;=$P$3,"Next (12-24m)","Later (24-36m)"))</f>
        <v>Next (12-24m)</v>
      </c>
      <c r="R22" s="20" t="s">
        <v>722</v>
      </c>
      <c r="S22" s="20" t="s">
        <v>723</v>
      </c>
      <c r="T22" s="20" t="s">
        <v>724</v>
      </c>
      <c r="U22" s="23" t="n">
        <f aca="false">P22+ROW()/100000</f>
        <v>74.00022</v>
      </c>
      <c r="V22" s="24" t="n">
        <f aca="false">RANK(U22,$U$6:$U$45,0)</f>
        <v>26</v>
      </c>
    </row>
    <row r="23" customFormat="false" ht="63.75" hidden="false" customHeight="true" outlineLevel="0" collapsed="false">
      <c r="A23" s="19" t="s">
        <v>725</v>
      </c>
      <c r="B23" s="19" t="s">
        <v>630</v>
      </c>
      <c r="C23" s="20" t="s">
        <v>181</v>
      </c>
      <c r="D23" s="20" t="s">
        <v>726</v>
      </c>
      <c r="E23" s="20" t="s">
        <v>727</v>
      </c>
      <c r="F23" s="20" t="s">
        <v>728</v>
      </c>
      <c r="G23" s="20" t="s">
        <v>729</v>
      </c>
      <c r="H23" s="20" t="s">
        <v>730</v>
      </c>
      <c r="I23" s="20" t="s">
        <v>587</v>
      </c>
      <c r="J23" s="21" t="n">
        <v>3</v>
      </c>
      <c r="K23" s="21" t="n">
        <v>4</v>
      </c>
      <c r="L23" s="21" t="n">
        <v>3</v>
      </c>
      <c r="M23" s="21" t="n">
        <v>3</v>
      </c>
      <c r="N23" s="21" t="n">
        <v>9</v>
      </c>
      <c r="O23" s="21" t="n">
        <v>3</v>
      </c>
      <c r="P23" s="22" t="n">
        <f aca="false">ROUND((J23*$C$3+K23*$E$3+L23*$G$3+(6-M23)*$I$3+O23*$K$3)/$L$3*20,1)</f>
        <v>64</v>
      </c>
      <c r="Q23" s="19" t="str">
        <f aca="false">IF(AND(P23&gt;=$N$3,N23&lt;=$R$3),"Now (0-12m)",IF(P23&gt;=$P$3,"Next (12-24m)","Later (24-36m)"))</f>
        <v>Later (24-36m)</v>
      </c>
      <c r="R23" s="20" t="s">
        <v>731</v>
      </c>
      <c r="S23" s="20" t="s">
        <v>732</v>
      </c>
      <c r="T23" s="20" t="s">
        <v>181</v>
      </c>
      <c r="U23" s="23" t="n">
        <f aca="false">P23+ROW()/100000</f>
        <v>64.00023</v>
      </c>
      <c r="V23" s="24" t="n">
        <f aca="false">RANK(U23,$U$6:$U$45,0)</f>
        <v>38</v>
      </c>
    </row>
    <row r="24" customFormat="false" ht="63.75" hidden="false" customHeight="true" outlineLevel="0" collapsed="false">
      <c r="A24" s="19" t="s">
        <v>733</v>
      </c>
      <c r="B24" s="19" t="s">
        <v>734</v>
      </c>
      <c r="C24" s="20" t="s">
        <v>375</v>
      </c>
      <c r="D24" s="20" t="s">
        <v>262</v>
      </c>
      <c r="E24" s="20" t="s">
        <v>735</v>
      </c>
      <c r="F24" s="20" t="s">
        <v>736</v>
      </c>
      <c r="G24" s="20" t="s">
        <v>737</v>
      </c>
      <c r="H24" s="20" t="s">
        <v>738</v>
      </c>
      <c r="I24" s="20" t="s">
        <v>739</v>
      </c>
      <c r="J24" s="21" t="n">
        <v>5</v>
      </c>
      <c r="K24" s="21" t="n">
        <v>4</v>
      </c>
      <c r="L24" s="21" t="n">
        <v>3</v>
      </c>
      <c r="M24" s="21" t="n">
        <v>2</v>
      </c>
      <c r="N24" s="21" t="n">
        <v>6</v>
      </c>
      <c r="O24" s="21" t="n">
        <v>5</v>
      </c>
      <c r="P24" s="22" t="n">
        <f aca="false">ROUND((J24*$C$3+K24*$E$3+L24*$G$3+(6-M24)*$I$3+O24*$K$3)/$L$3*20,1)</f>
        <v>87</v>
      </c>
      <c r="Q24" s="19" t="str">
        <f aca="false">IF(AND(P24&gt;=$N$3,N24&lt;=$R$3),"Now (0-12m)",IF(P24&gt;=$P$3,"Next (12-24m)","Later (24-36m)"))</f>
        <v>Now (0-12m)</v>
      </c>
      <c r="R24" s="20" t="s">
        <v>740</v>
      </c>
      <c r="S24" s="20" t="s">
        <v>741</v>
      </c>
      <c r="T24" s="20" t="s">
        <v>742</v>
      </c>
      <c r="U24" s="23" t="n">
        <f aca="false">P24+ROW()/100000</f>
        <v>87.00024</v>
      </c>
      <c r="V24" s="24" t="n">
        <f aca="false">RANK(U24,$U$6:$U$45,0)</f>
        <v>6</v>
      </c>
    </row>
    <row r="25" customFormat="false" ht="63.75" hidden="false" customHeight="true" outlineLevel="0" collapsed="false">
      <c r="A25" s="19" t="s">
        <v>743</v>
      </c>
      <c r="B25" s="19" t="s">
        <v>734</v>
      </c>
      <c r="C25" s="20" t="s">
        <v>375</v>
      </c>
      <c r="D25" s="20" t="s">
        <v>262</v>
      </c>
      <c r="E25" s="20" t="s">
        <v>744</v>
      </c>
      <c r="F25" s="20" t="s">
        <v>745</v>
      </c>
      <c r="G25" s="20" t="s">
        <v>643</v>
      </c>
      <c r="H25" s="20" t="s">
        <v>746</v>
      </c>
      <c r="I25" s="20" t="s">
        <v>747</v>
      </c>
      <c r="J25" s="21" t="n">
        <v>5</v>
      </c>
      <c r="K25" s="21" t="n">
        <v>3</v>
      </c>
      <c r="L25" s="21" t="n">
        <v>3</v>
      </c>
      <c r="M25" s="21" t="n">
        <v>3</v>
      </c>
      <c r="N25" s="21" t="n">
        <v>12</v>
      </c>
      <c r="O25" s="21" t="n">
        <v>5</v>
      </c>
      <c r="P25" s="22" t="n">
        <f aca="false">ROUND((J25*$C$3+K25*$E$3+L25*$G$3+(6-M25)*$I$3+O25*$K$3)/$L$3*20,1)</f>
        <v>80</v>
      </c>
      <c r="Q25" s="19" t="str">
        <f aca="false">IF(AND(P25&gt;=$N$3,N25&lt;=$R$3),"Now (0-12m)",IF(P25&gt;=$P$3,"Next (12-24m)","Later (24-36m)"))</f>
        <v>Next (12-24m)</v>
      </c>
      <c r="R25" s="20" t="s">
        <v>748</v>
      </c>
      <c r="S25" s="20" t="s">
        <v>749</v>
      </c>
      <c r="T25" s="20" t="s">
        <v>750</v>
      </c>
      <c r="U25" s="23" t="n">
        <f aca="false">P25+ROW()/100000</f>
        <v>80.00025</v>
      </c>
      <c r="V25" s="24" t="n">
        <f aca="false">RANK(U25,$U$6:$U$45,0)</f>
        <v>14</v>
      </c>
    </row>
    <row r="26" customFormat="false" ht="63.75" hidden="false" customHeight="true" outlineLevel="0" collapsed="false">
      <c r="A26" s="19" t="s">
        <v>751</v>
      </c>
      <c r="B26" s="19" t="s">
        <v>734</v>
      </c>
      <c r="C26" s="20" t="s">
        <v>631</v>
      </c>
      <c r="D26" s="20" t="s">
        <v>752</v>
      </c>
      <c r="E26" s="20" t="s">
        <v>753</v>
      </c>
      <c r="F26" s="20" t="s">
        <v>754</v>
      </c>
      <c r="G26" s="20" t="s">
        <v>755</v>
      </c>
      <c r="H26" s="20" t="s">
        <v>756</v>
      </c>
      <c r="I26" s="20" t="s">
        <v>757</v>
      </c>
      <c r="J26" s="21" t="n">
        <v>5</v>
      </c>
      <c r="K26" s="21" t="n">
        <v>3</v>
      </c>
      <c r="L26" s="21" t="n">
        <v>3</v>
      </c>
      <c r="M26" s="21" t="n">
        <v>3</v>
      </c>
      <c r="N26" s="21" t="n">
        <v>12</v>
      </c>
      <c r="O26" s="21" t="n">
        <v>5</v>
      </c>
      <c r="P26" s="22" t="n">
        <f aca="false">ROUND((J26*$C$3+K26*$E$3+L26*$G$3+(6-M26)*$I$3+O26*$K$3)/$L$3*20,1)</f>
        <v>80</v>
      </c>
      <c r="Q26" s="19" t="str">
        <f aca="false">IF(AND(P26&gt;=$N$3,N26&lt;=$R$3),"Now (0-12m)",IF(P26&gt;=$P$3,"Next (12-24m)","Later (24-36m)"))</f>
        <v>Next (12-24m)</v>
      </c>
      <c r="R26" s="20" t="s">
        <v>758</v>
      </c>
      <c r="S26" s="20" t="s">
        <v>759</v>
      </c>
      <c r="T26" s="20" t="s">
        <v>760</v>
      </c>
      <c r="U26" s="23" t="n">
        <f aca="false">P26+ROW()/100000</f>
        <v>80.00026</v>
      </c>
      <c r="V26" s="24" t="n">
        <f aca="false">RANK(U26,$U$6:$U$45,0)</f>
        <v>13</v>
      </c>
    </row>
    <row r="27" customFormat="false" ht="63.75" hidden="false" customHeight="true" outlineLevel="0" collapsed="false">
      <c r="A27" s="19" t="s">
        <v>761</v>
      </c>
      <c r="B27" s="19" t="s">
        <v>734</v>
      </c>
      <c r="C27" s="20" t="s">
        <v>375</v>
      </c>
      <c r="D27" s="20" t="s">
        <v>762</v>
      </c>
      <c r="E27" s="20" t="s">
        <v>763</v>
      </c>
      <c r="F27" s="20" t="s">
        <v>764</v>
      </c>
      <c r="G27" s="20" t="s">
        <v>765</v>
      </c>
      <c r="H27" s="20" t="s">
        <v>766</v>
      </c>
      <c r="I27" s="20" t="s">
        <v>767</v>
      </c>
      <c r="J27" s="21" t="n">
        <v>3</v>
      </c>
      <c r="K27" s="21" t="n">
        <v>4</v>
      </c>
      <c r="L27" s="21" t="n">
        <v>3</v>
      </c>
      <c r="M27" s="21" t="n">
        <v>2</v>
      </c>
      <c r="N27" s="21" t="n">
        <v>6</v>
      </c>
      <c r="O27" s="21" t="n">
        <v>4</v>
      </c>
      <c r="P27" s="22" t="n">
        <f aca="false">ROUND((J27*$C$3+K27*$E$3+L27*$G$3+(6-M27)*$I$3+O27*$K$3)/$L$3*20,1)</f>
        <v>71</v>
      </c>
      <c r="Q27" s="19" t="str">
        <f aca="false">IF(AND(P27&gt;=$N$3,N27&lt;=$R$3),"Now (0-12m)",IF(P27&gt;=$P$3,"Next (12-24m)","Later (24-36m)"))</f>
        <v>Next (12-24m)</v>
      </c>
      <c r="R27" s="20" t="s">
        <v>768</v>
      </c>
      <c r="S27" s="20" t="s">
        <v>769</v>
      </c>
      <c r="T27" s="20" t="s">
        <v>770</v>
      </c>
      <c r="U27" s="23" t="n">
        <f aca="false">P27+ROW()/100000</f>
        <v>71.00027</v>
      </c>
      <c r="V27" s="24" t="n">
        <f aca="false">RANK(U27,$U$6:$U$45,0)</f>
        <v>30</v>
      </c>
    </row>
    <row r="28" customFormat="false" ht="63.75" hidden="false" customHeight="true" outlineLevel="0" collapsed="false">
      <c r="A28" s="19" t="s">
        <v>771</v>
      </c>
      <c r="B28" s="19" t="s">
        <v>734</v>
      </c>
      <c r="C28" s="20" t="s">
        <v>157</v>
      </c>
      <c r="D28" s="20" t="s">
        <v>262</v>
      </c>
      <c r="E28" s="20" t="s">
        <v>772</v>
      </c>
      <c r="F28" s="20" t="s">
        <v>773</v>
      </c>
      <c r="G28" s="20" t="s">
        <v>774</v>
      </c>
      <c r="H28" s="20" t="s">
        <v>775</v>
      </c>
      <c r="I28" s="20" t="s">
        <v>776</v>
      </c>
      <c r="J28" s="21" t="n">
        <v>4</v>
      </c>
      <c r="K28" s="21" t="n">
        <v>3</v>
      </c>
      <c r="L28" s="21" t="n">
        <v>4</v>
      </c>
      <c r="M28" s="21" t="n">
        <v>4</v>
      </c>
      <c r="N28" s="21" t="n">
        <v>12</v>
      </c>
      <c r="O28" s="21" t="n">
        <v>4</v>
      </c>
      <c r="P28" s="22" t="n">
        <f aca="false">ROUND((J28*$C$3+K28*$E$3+L28*$G$3+(6-M28)*$I$3+O28*$K$3)/$L$3*20,1)</f>
        <v>70</v>
      </c>
      <c r="Q28" s="19" t="str">
        <f aca="false">IF(AND(P28&gt;=$N$3,N28&lt;=$R$3),"Now (0-12m)",IF(P28&gt;=$P$3,"Next (12-24m)","Later (24-36m)"))</f>
        <v>Next (12-24m)</v>
      </c>
      <c r="R28" s="20" t="s">
        <v>777</v>
      </c>
      <c r="S28" s="20" t="s">
        <v>778</v>
      </c>
      <c r="T28" s="20" t="s">
        <v>779</v>
      </c>
      <c r="U28" s="23" t="n">
        <f aca="false">P28+ROW()/100000</f>
        <v>70.00028</v>
      </c>
      <c r="V28" s="24" t="n">
        <f aca="false">RANK(U28,$U$6:$U$45,0)</f>
        <v>34</v>
      </c>
    </row>
    <row r="29" customFormat="false" ht="63.75" hidden="false" customHeight="true" outlineLevel="0" collapsed="false">
      <c r="A29" s="19" t="s">
        <v>780</v>
      </c>
      <c r="B29" s="19" t="s">
        <v>734</v>
      </c>
      <c r="C29" s="20" t="s">
        <v>375</v>
      </c>
      <c r="D29" s="20" t="s">
        <v>781</v>
      </c>
      <c r="E29" s="20" t="s">
        <v>782</v>
      </c>
      <c r="F29" s="20" t="s">
        <v>783</v>
      </c>
      <c r="G29" s="20" t="s">
        <v>784</v>
      </c>
      <c r="H29" s="20" t="s">
        <v>785</v>
      </c>
      <c r="I29" s="20" t="s">
        <v>786</v>
      </c>
      <c r="J29" s="21" t="n">
        <v>4</v>
      </c>
      <c r="K29" s="21" t="n">
        <v>4</v>
      </c>
      <c r="L29" s="21" t="n">
        <v>4</v>
      </c>
      <c r="M29" s="21" t="n">
        <v>2</v>
      </c>
      <c r="N29" s="21" t="n">
        <v>6</v>
      </c>
      <c r="O29" s="21" t="n">
        <v>4</v>
      </c>
      <c r="P29" s="22" t="n">
        <f aca="false">ROUND((J29*$C$3+K29*$E$3+L29*$G$3+(6-M29)*$I$3+O29*$K$3)/$L$3*20,1)</f>
        <v>80</v>
      </c>
      <c r="Q29" s="19" t="str">
        <f aca="false">IF(AND(P29&gt;=$N$3,N29&lt;=$R$3),"Now (0-12m)",IF(P29&gt;=$P$3,"Next (12-24m)","Later (24-36m)"))</f>
        <v>Now (0-12m)</v>
      </c>
      <c r="R29" s="20" t="s">
        <v>787</v>
      </c>
      <c r="S29" s="20" t="s">
        <v>788</v>
      </c>
      <c r="T29" s="20" t="s">
        <v>789</v>
      </c>
      <c r="U29" s="23" t="n">
        <f aca="false">P29+ROW()/100000</f>
        <v>80.00029</v>
      </c>
      <c r="V29" s="24" t="n">
        <f aca="false">RANK(U29,$U$6:$U$45,0)</f>
        <v>12</v>
      </c>
    </row>
    <row r="30" customFormat="false" ht="63.75" hidden="false" customHeight="true" outlineLevel="0" collapsed="false">
      <c r="A30" s="19" t="s">
        <v>790</v>
      </c>
      <c r="B30" s="19" t="s">
        <v>791</v>
      </c>
      <c r="C30" s="20" t="s">
        <v>375</v>
      </c>
      <c r="D30" s="20" t="s">
        <v>792</v>
      </c>
      <c r="E30" s="20" t="s">
        <v>793</v>
      </c>
      <c r="F30" s="20" t="s">
        <v>794</v>
      </c>
      <c r="G30" s="20" t="s">
        <v>795</v>
      </c>
      <c r="H30" s="20" t="s">
        <v>796</v>
      </c>
      <c r="I30" s="20" t="s">
        <v>797</v>
      </c>
      <c r="J30" s="21" t="n">
        <v>3</v>
      </c>
      <c r="K30" s="21" t="n">
        <v>5</v>
      </c>
      <c r="L30" s="21" t="n">
        <v>4</v>
      </c>
      <c r="M30" s="21" t="n">
        <v>1</v>
      </c>
      <c r="N30" s="21" t="n">
        <v>3</v>
      </c>
      <c r="O30" s="21" t="n">
        <v>4</v>
      </c>
      <c r="P30" s="22" t="n">
        <f aca="false">ROUND((J30*$C$3+K30*$E$3+L30*$G$3+(6-M30)*$I$3+O30*$K$3)/$L$3*20,1)</f>
        <v>81</v>
      </c>
      <c r="Q30" s="19" t="str">
        <f aca="false">IF(AND(P30&gt;=$N$3,N30&lt;=$R$3),"Now (0-12m)",IF(P30&gt;=$P$3,"Next (12-24m)","Later (24-36m)"))</f>
        <v>Now (0-12m)</v>
      </c>
      <c r="R30" s="20" t="s">
        <v>798</v>
      </c>
      <c r="S30" s="20" t="s">
        <v>799</v>
      </c>
      <c r="T30" s="20" t="s">
        <v>800</v>
      </c>
      <c r="U30" s="23" t="n">
        <f aca="false">P30+ROW()/100000</f>
        <v>81.0003</v>
      </c>
      <c r="V30" s="24" t="n">
        <f aca="false">RANK(U30,$U$6:$U$45,0)</f>
        <v>11</v>
      </c>
    </row>
    <row r="31" customFormat="false" ht="63.75" hidden="false" customHeight="true" outlineLevel="0" collapsed="false">
      <c r="A31" s="19" t="s">
        <v>801</v>
      </c>
      <c r="B31" s="19" t="s">
        <v>791</v>
      </c>
      <c r="C31" s="20" t="s">
        <v>375</v>
      </c>
      <c r="D31" s="20" t="s">
        <v>792</v>
      </c>
      <c r="E31" s="20" t="s">
        <v>802</v>
      </c>
      <c r="F31" s="20" t="s">
        <v>803</v>
      </c>
      <c r="G31" s="20" t="s">
        <v>427</v>
      </c>
      <c r="H31" s="20" t="s">
        <v>804</v>
      </c>
      <c r="I31" s="20" t="s">
        <v>805</v>
      </c>
      <c r="J31" s="21" t="n">
        <v>3</v>
      </c>
      <c r="K31" s="21" t="n">
        <v>5</v>
      </c>
      <c r="L31" s="21" t="n">
        <v>4</v>
      </c>
      <c r="M31" s="21" t="n">
        <v>1</v>
      </c>
      <c r="N31" s="21" t="n">
        <v>3</v>
      </c>
      <c r="O31" s="21" t="n">
        <v>3</v>
      </c>
      <c r="P31" s="22" t="n">
        <f aca="false">ROUND((J31*$C$3+K31*$E$3+L31*$G$3+(6-M31)*$I$3+O31*$K$3)/$L$3*20,1)</f>
        <v>77</v>
      </c>
      <c r="Q31" s="19" t="str">
        <f aca="false">IF(AND(P31&gt;=$N$3,N31&lt;=$R$3),"Now (0-12m)",IF(P31&gt;=$P$3,"Next (12-24m)","Later (24-36m)"))</f>
        <v>Now (0-12m)</v>
      </c>
      <c r="R31" s="20" t="s">
        <v>806</v>
      </c>
      <c r="S31" s="20" t="s">
        <v>807</v>
      </c>
      <c r="T31" s="20" t="s">
        <v>791</v>
      </c>
      <c r="U31" s="23" t="n">
        <f aca="false">P31+ROW()/100000</f>
        <v>77.00031</v>
      </c>
      <c r="V31" s="24" t="n">
        <f aca="false">RANK(U31,$U$6:$U$45,0)</f>
        <v>20</v>
      </c>
    </row>
    <row r="32" customFormat="false" ht="63.75" hidden="false" customHeight="true" outlineLevel="0" collapsed="false">
      <c r="A32" s="19" t="s">
        <v>808</v>
      </c>
      <c r="B32" s="19" t="s">
        <v>791</v>
      </c>
      <c r="C32" s="20" t="s">
        <v>375</v>
      </c>
      <c r="D32" s="20" t="s">
        <v>809</v>
      </c>
      <c r="E32" s="20" t="s">
        <v>810</v>
      </c>
      <c r="F32" s="20" t="s">
        <v>811</v>
      </c>
      <c r="G32" s="20" t="s">
        <v>812</v>
      </c>
      <c r="H32" s="20" t="s">
        <v>813</v>
      </c>
      <c r="I32" s="20" t="s">
        <v>814</v>
      </c>
      <c r="J32" s="21" t="n">
        <v>4</v>
      </c>
      <c r="K32" s="21" t="n">
        <v>3</v>
      </c>
      <c r="L32" s="21" t="n">
        <v>2</v>
      </c>
      <c r="M32" s="21" t="n">
        <v>3</v>
      </c>
      <c r="N32" s="21" t="n">
        <v>12</v>
      </c>
      <c r="O32" s="21" t="n">
        <v>5</v>
      </c>
      <c r="P32" s="22" t="n">
        <f aca="false">ROUND((J32*$C$3+K32*$E$3+L32*$G$3+(6-M32)*$I$3+O32*$K$3)/$L$3*20,1)</f>
        <v>71</v>
      </c>
      <c r="Q32" s="19" t="str">
        <f aca="false">IF(AND(P32&gt;=$N$3,N32&lt;=$R$3),"Now (0-12m)",IF(P32&gt;=$P$3,"Next (12-24m)","Later (24-36m)"))</f>
        <v>Next (12-24m)</v>
      </c>
      <c r="R32" s="20" t="s">
        <v>815</v>
      </c>
      <c r="S32" s="20" t="s">
        <v>816</v>
      </c>
      <c r="T32" s="20" t="s">
        <v>817</v>
      </c>
      <c r="U32" s="23" t="n">
        <f aca="false">P32+ROW()/100000</f>
        <v>71.00032</v>
      </c>
      <c r="V32" s="24" t="n">
        <f aca="false">RANK(U32,$U$6:$U$45,0)</f>
        <v>29</v>
      </c>
    </row>
    <row r="33" customFormat="false" ht="63.75" hidden="false" customHeight="true" outlineLevel="0" collapsed="false">
      <c r="A33" s="19" t="s">
        <v>818</v>
      </c>
      <c r="B33" s="19" t="s">
        <v>791</v>
      </c>
      <c r="C33" s="20" t="s">
        <v>157</v>
      </c>
      <c r="D33" s="20" t="s">
        <v>792</v>
      </c>
      <c r="E33" s="20" t="s">
        <v>819</v>
      </c>
      <c r="F33" s="20" t="s">
        <v>820</v>
      </c>
      <c r="G33" s="20" t="s">
        <v>821</v>
      </c>
      <c r="H33" s="20" t="s">
        <v>822</v>
      </c>
      <c r="I33" s="20" t="s">
        <v>823</v>
      </c>
      <c r="J33" s="21" t="n">
        <v>3</v>
      </c>
      <c r="K33" s="21" t="n">
        <v>3</v>
      </c>
      <c r="L33" s="21" t="n">
        <v>3</v>
      </c>
      <c r="M33" s="21" t="n">
        <v>3</v>
      </c>
      <c r="N33" s="21" t="n">
        <v>9</v>
      </c>
      <c r="O33" s="21" t="n">
        <v>3</v>
      </c>
      <c r="P33" s="22" t="n">
        <f aca="false">ROUND((J33*$C$3+K33*$E$3+L33*$G$3+(6-M33)*$I$3+O33*$K$3)/$L$3*20,1)</f>
        <v>60</v>
      </c>
      <c r="Q33" s="19" t="str">
        <f aca="false">IF(AND(P33&gt;=$N$3,N33&lt;=$R$3),"Now (0-12m)",IF(P33&gt;=$P$3,"Next (12-24m)","Later (24-36m)"))</f>
        <v>Later (24-36m)</v>
      </c>
      <c r="R33" s="20" t="s">
        <v>824</v>
      </c>
      <c r="S33" s="20" t="s">
        <v>825</v>
      </c>
      <c r="T33" s="20" t="s">
        <v>619</v>
      </c>
      <c r="U33" s="23" t="n">
        <f aca="false">P33+ROW()/100000</f>
        <v>60.00033</v>
      </c>
      <c r="V33" s="24" t="n">
        <f aca="false">RANK(U33,$U$6:$U$45,0)</f>
        <v>39</v>
      </c>
    </row>
    <row r="34" customFormat="false" ht="63.75" hidden="false" customHeight="true" outlineLevel="0" collapsed="false">
      <c r="A34" s="19" t="s">
        <v>826</v>
      </c>
      <c r="B34" s="19" t="s">
        <v>791</v>
      </c>
      <c r="C34" s="20" t="s">
        <v>375</v>
      </c>
      <c r="D34" s="20" t="s">
        <v>827</v>
      </c>
      <c r="E34" s="20" t="s">
        <v>828</v>
      </c>
      <c r="F34" s="20" t="s">
        <v>829</v>
      </c>
      <c r="G34" s="20" t="s">
        <v>720</v>
      </c>
      <c r="H34" s="20" t="s">
        <v>830</v>
      </c>
      <c r="I34" s="20" t="s">
        <v>831</v>
      </c>
      <c r="J34" s="21" t="n">
        <v>4</v>
      </c>
      <c r="K34" s="21" t="n">
        <v>3</v>
      </c>
      <c r="L34" s="21" t="n">
        <v>3</v>
      </c>
      <c r="M34" s="21" t="n">
        <v>4</v>
      </c>
      <c r="N34" s="21" t="n">
        <v>18</v>
      </c>
      <c r="O34" s="21" t="n">
        <v>4</v>
      </c>
      <c r="P34" s="22" t="n">
        <f aca="false">ROUND((J34*$C$3+K34*$E$3+L34*$G$3+(6-M34)*$I$3+O34*$K$3)/$L$3*20,1)</f>
        <v>67</v>
      </c>
      <c r="Q34" s="19" t="str">
        <f aca="false">IF(AND(P34&gt;=$N$3,N34&lt;=$R$3),"Now (0-12m)",IF(P34&gt;=$P$3,"Next (12-24m)","Later (24-36m)"))</f>
        <v>Later (24-36m)</v>
      </c>
      <c r="R34" s="20" t="s">
        <v>832</v>
      </c>
      <c r="S34" s="20" t="s">
        <v>833</v>
      </c>
      <c r="T34" s="20" t="s">
        <v>834</v>
      </c>
      <c r="U34" s="23" t="n">
        <f aca="false">P34+ROW()/100000</f>
        <v>67.00034</v>
      </c>
      <c r="V34" s="24" t="n">
        <f aca="false">RANK(U34,$U$6:$U$45,0)</f>
        <v>35</v>
      </c>
    </row>
    <row r="35" customFormat="false" ht="63.75" hidden="false" customHeight="true" outlineLevel="0" collapsed="false">
      <c r="A35" s="19" t="s">
        <v>835</v>
      </c>
      <c r="B35" s="19" t="s">
        <v>836</v>
      </c>
      <c r="C35" s="20" t="s">
        <v>375</v>
      </c>
      <c r="D35" s="20" t="s">
        <v>837</v>
      </c>
      <c r="E35" s="20" t="s">
        <v>838</v>
      </c>
      <c r="F35" s="20" t="s">
        <v>839</v>
      </c>
      <c r="G35" s="20" t="s">
        <v>840</v>
      </c>
      <c r="H35" s="20" t="s">
        <v>841</v>
      </c>
      <c r="I35" s="20" t="s">
        <v>842</v>
      </c>
      <c r="J35" s="21" t="n">
        <v>5</v>
      </c>
      <c r="K35" s="21" t="n">
        <v>5</v>
      </c>
      <c r="L35" s="21" t="n">
        <v>4</v>
      </c>
      <c r="M35" s="21" t="n">
        <v>3</v>
      </c>
      <c r="N35" s="21" t="n">
        <v>6</v>
      </c>
      <c r="O35" s="21" t="n">
        <v>5</v>
      </c>
      <c r="P35" s="22" t="n">
        <f aca="false">ROUND((J35*$C$3+K35*$E$3+L35*$G$3+(6-M35)*$I$3+O35*$K$3)/$L$3*20,1)</f>
        <v>91</v>
      </c>
      <c r="Q35" s="19" t="str">
        <f aca="false">IF(AND(P35&gt;=$N$3,N35&lt;=$R$3),"Now (0-12m)",IF(P35&gt;=$P$3,"Next (12-24m)","Later (24-36m)"))</f>
        <v>Now (0-12m)</v>
      </c>
      <c r="R35" s="20" t="s">
        <v>843</v>
      </c>
      <c r="S35" s="20" t="s">
        <v>844</v>
      </c>
      <c r="T35" s="20" t="s">
        <v>845</v>
      </c>
      <c r="U35" s="23" t="n">
        <f aca="false">P35+ROW()/100000</f>
        <v>91.00035</v>
      </c>
      <c r="V35" s="24" t="n">
        <f aca="false">RANK(U35,$U$6:$U$45,0)</f>
        <v>2</v>
      </c>
    </row>
    <row r="36" customFormat="false" ht="63.75" hidden="false" customHeight="true" outlineLevel="0" collapsed="false">
      <c r="A36" s="19" t="s">
        <v>846</v>
      </c>
      <c r="B36" s="19" t="s">
        <v>836</v>
      </c>
      <c r="C36" s="20" t="s">
        <v>847</v>
      </c>
      <c r="D36" s="20" t="s">
        <v>679</v>
      </c>
      <c r="E36" s="20" t="s">
        <v>848</v>
      </c>
      <c r="F36" s="20" t="s">
        <v>849</v>
      </c>
      <c r="G36" s="20" t="s">
        <v>850</v>
      </c>
      <c r="H36" s="20" t="s">
        <v>851</v>
      </c>
      <c r="I36" s="20" t="s">
        <v>596</v>
      </c>
      <c r="J36" s="21" t="n">
        <v>5</v>
      </c>
      <c r="K36" s="21" t="n">
        <v>3</v>
      </c>
      <c r="L36" s="21" t="n">
        <v>4</v>
      </c>
      <c r="M36" s="21" t="n">
        <v>5</v>
      </c>
      <c r="N36" s="21" t="n">
        <v>12</v>
      </c>
      <c r="O36" s="21" t="n">
        <v>4</v>
      </c>
      <c r="P36" s="22" t="n">
        <f aca="false">ROUND((J36*$C$3+K36*$E$3+L36*$G$3+(6-M36)*$I$3+O36*$K$3)/$L$3*20,1)</f>
        <v>73</v>
      </c>
      <c r="Q36" s="19" t="str">
        <f aca="false">IF(AND(P36&gt;=$N$3,N36&lt;=$R$3),"Now (0-12m)",IF(P36&gt;=$P$3,"Next (12-24m)","Later (24-36m)"))</f>
        <v>Next (12-24m)</v>
      </c>
      <c r="R36" s="20" t="s">
        <v>852</v>
      </c>
      <c r="S36" s="20" t="s">
        <v>853</v>
      </c>
      <c r="T36" s="20" t="s">
        <v>854</v>
      </c>
      <c r="U36" s="23" t="n">
        <f aca="false">P36+ROW()/100000</f>
        <v>73.00036</v>
      </c>
      <c r="V36" s="24" t="n">
        <f aca="false">RANK(U36,$U$6:$U$45,0)</f>
        <v>27</v>
      </c>
    </row>
    <row r="37" customFormat="false" ht="63.75" hidden="false" customHeight="true" outlineLevel="0" collapsed="false">
      <c r="A37" s="19" t="s">
        <v>855</v>
      </c>
      <c r="B37" s="19" t="s">
        <v>836</v>
      </c>
      <c r="C37" s="20" t="s">
        <v>157</v>
      </c>
      <c r="D37" s="20" t="s">
        <v>856</v>
      </c>
      <c r="E37" s="20" t="s">
        <v>857</v>
      </c>
      <c r="F37" s="20" t="s">
        <v>858</v>
      </c>
      <c r="G37" s="20" t="s">
        <v>859</v>
      </c>
      <c r="H37" s="20" t="s">
        <v>860</v>
      </c>
      <c r="I37" s="20" t="s">
        <v>587</v>
      </c>
      <c r="J37" s="21" t="n">
        <v>5</v>
      </c>
      <c r="K37" s="21" t="n">
        <v>4</v>
      </c>
      <c r="L37" s="21" t="n">
        <v>4</v>
      </c>
      <c r="M37" s="21" t="n">
        <v>3</v>
      </c>
      <c r="N37" s="21" t="n">
        <v>9</v>
      </c>
      <c r="O37" s="21" t="n">
        <v>5</v>
      </c>
      <c r="P37" s="22" t="n">
        <f aca="false">ROUND((J37*$C$3+K37*$E$3+L37*$G$3+(6-M37)*$I$3+O37*$K$3)/$L$3*20,1)</f>
        <v>87</v>
      </c>
      <c r="Q37" s="19" t="str">
        <f aca="false">IF(AND(P37&gt;=$N$3,N37&lt;=$R$3),"Now (0-12m)",IF(P37&gt;=$P$3,"Next (12-24m)","Later (24-36m)"))</f>
        <v>Now (0-12m)</v>
      </c>
      <c r="R37" s="20" t="s">
        <v>861</v>
      </c>
      <c r="S37" s="20" t="s">
        <v>862</v>
      </c>
      <c r="T37" s="20" t="s">
        <v>590</v>
      </c>
      <c r="U37" s="23" t="n">
        <f aca="false">P37+ROW()/100000</f>
        <v>87.00037</v>
      </c>
      <c r="V37" s="24" t="n">
        <f aca="false">RANK(U37,$U$6:$U$45,0)</f>
        <v>5</v>
      </c>
    </row>
    <row r="38" customFormat="false" ht="63.75" hidden="false" customHeight="true" outlineLevel="0" collapsed="false">
      <c r="A38" s="19" t="s">
        <v>863</v>
      </c>
      <c r="B38" s="19" t="s">
        <v>836</v>
      </c>
      <c r="C38" s="20" t="s">
        <v>157</v>
      </c>
      <c r="D38" s="20" t="s">
        <v>864</v>
      </c>
      <c r="E38" s="20" t="s">
        <v>865</v>
      </c>
      <c r="F38" s="20" t="s">
        <v>866</v>
      </c>
      <c r="G38" s="20" t="s">
        <v>614</v>
      </c>
      <c r="H38" s="20" t="s">
        <v>867</v>
      </c>
      <c r="I38" s="20" t="s">
        <v>868</v>
      </c>
      <c r="J38" s="21" t="n">
        <v>4</v>
      </c>
      <c r="K38" s="21" t="n">
        <v>4</v>
      </c>
      <c r="L38" s="21" t="n">
        <v>4</v>
      </c>
      <c r="M38" s="21" t="n">
        <v>3</v>
      </c>
      <c r="N38" s="21" t="n">
        <v>9</v>
      </c>
      <c r="O38" s="21" t="n">
        <v>4</v>
      </c>
      <c r="P38" s="22" t="n">
        <f aca="false">ROUND((J38*$C$3+K38*$E$3+L38*$G$3+(6-M38)*$I$3+O38*$K$3)/$L$3*20,1)</f>
        <v>77</v>
      </c>
      <c r="Q38" s="19" t="str">
        <f aca="false">IF(AND(P38&gt;=$N$3,N38&lt;=$R$3),"Now (0-12m)",IF(P38&gt;=$P$3,"Next (12-24m)","Later (24-36m)"))</f>
        <v>Now (0-12m)</v>
      </c>
      <c r="R38" s="20" t="s">
        <v>869</v>
      </c>
      <c r="S38" s="20" t="s">
        <v>870</v>
      </c>
      <c r="T38" s="20" t="s">
        <v>590</v>
      </c>
      <c r="U38" s="23" t="n">
        <f aca="false">P38+ROW()/100000</f>
        <v>77.00038</v>
      </c>
      <c r="V38" s="24" t="n">
        <f aca="false">RANK(U38,$U$6:$U$45,0)</f>
        <v>19</v>
      </c>
    </row>
    <row r="39" customFormat="false" ht="63.75" hidden="false" customHeight="true" outlineLevel="0" collapsed="false">
      <c r="A39" s="19" t="s">
        <v>871</v>
      </c>
      <c r="B39" s="19" t="s">
        <v>836</v>
      </c>
      <c r="C39" s="20" t="s">
        <v>175</v>
      </c>
      <c r="D39" s="20" t="s">
        <v>660</v>
      </c>
      <c r="E39" s="20" t="s">
        <v>872</v>
      </c>
      <c r="F39" s="20" t="s">
        <v>873</v>
      </c>
      <c r="G39" s="20" t="s">
        <v>874</v>
      </c>
      <c r="H39" s="20" t="s">
        <v>875</v>
      </c>
      <c r="I39" s="20" t="s">
        <v>596</v>
      </c>
      <c r="J39" s="21" t="n">
        <v>4</v>
      </c>
      <c r="K39" s="21" t="n">
        <v>4</v>
      </c>
      <c r="L39" s="21" t="n">
        <v>4</v>
      </c>
      <c r="M39" s="21" t="n">
        <v>3</v>
      </c>
      <c r="N39" s="21" t="n">
        <v>9</v>
      </c>
      <c r="O39" s="21" t="n">
        <v>4</v>
      </c>
      <c r="P39" s="22" t="n">
        <f aca="false">ROUND((J39*$C$3+K39*$E$3+L39*$G$3+(6-M39)*$I$3+O39*$K$3)/$L$3*20,1)</f>
        <v>77</v>
      </c>
      <c r="Q39" s="19" t="str">
        <f aca="false">IF(AND(P39&gt;=$N$3,N39&lt;=$R$3),"Now (0-12m)",IF(P39&gt;=$P$3,"Next (12-24m)","Later (24-36m)"))</f>
        <v>Now (0-12m)</v>
      </c>
      <c r="R39" s="20" t="s">
        <v>876</v>
      </c>
      <c r="S39" s="20" t="s">
        <v>877</v>
      </c>
      <c r="T39" s="20" t="s">
        <v>878</v>
      </c>
      <c r="U39" s="23" t="n">
        <f aca="false">P39+ROW()/100000</f>
        <v>77.00039</v>
      </c>
      <c r="V39" s="24" t="n">
        <f aca="false">RANK(U39,$U$6:$U$45,0)</f>
        <v>18</v>
      </c>
    </row>
    <row r="40" customFormat="false" ht="63.75" hidden="false" customHeight="true" outlineLevel="0" collapsed="false">
      <c r="A40" s="19" t="s">
        <v>879</v>
      </c>
      <c r="B40" s="19" t="s">
        <v>836</v>
      </c>
      <c r="C40" s="20" t="s">
        <v>175</v>
      </c>
      <c r="D40" s="20" t="s">
        <v>880</v>
      </c>
      <c r="E40" s="20" t="s">
        <v>881</v>
      </c>
      <c r="F40" s="20" t="s">
        <v>882</v>
      </c>
      <c r="G40" s="20" t="s">
        <v>883</v>
      </c>
      <c r="H40" s="20" t="s">
        <v>884</v>
      </c>
      <c r="I40" s="20" t="s">
        <v>596</v>
      </c>
      <c r="J40" s="21" t="n">
        <v>4</v>
      </c>
      <c r="K40" s="21" t="n">
        <v>4</v>
      </c>
      <c r="L40" s="21" t="n">
        <v>3</v>
      </c>
      <c r="M40" s="21" t="n">
        <v>3</v>
      </c>
      <c r="N40" s="21" t="n">
        <v>9</v>
      </c>
      <c r="O40" s="21" t="n">
        <v>4</v>
      </c>
      <c r="P40" s="22" t="n">
        <f aca="false">ROUND((J40*$C$3+K40*$E$3+L40*$G$3+(6-M40)*$I$3+O40*$K$3)/$L$3*20,1)</f>
        <v>74</v>
      </c>
      <c r="Q40" s="19" t="str">
        <f aca="false">IF(AND(P40&gt;=$N$3,N40&lt;=$R$3),"Now (0-12m)",IF(P40&gt;=$P$3,"Next (12-24m)","Later (24-36m)"))</f>
        <v>Next (12-24m)</v>
      </c>
      <c r="R40" s="20" t="s">
        <v>885</v>
      </c>
      <c r="S40" s="20" t="s">
        <v>886</v>
      </c>
      <c r="T40" s="20" t="s">
        <v>878</v>
      </c>
      <c r="U40" s="23" t="n">
        <f aca="false">P40+ROW()/100000</f>
        <v>74.0004</v>
      </c>
      <c r="V40" s="24" t="n">
        <f aca="false">RANK(U40,$U$6:$U$45,0)</f>
        <v>25</v>
      </c>
    </row>
    <row r="41" customFormat="false" ht="63.75" hidden="false" customHeight="true" outlineLevel="0" collapsed="false">
      <c r="A41" s="19" t="s">
        <v>887</v>
      </c>
      <c r="B41" s="19" t="s">
        <v>836</v>
      </c>
      <c r="C41" s="20" t="s">
        <v>688</v>
      </c>
      <c r="D41" s="20" t="s">
        <v>888</v>
      </c>
      <c r="E41" s="20" t="s">
        <v>889</v>
      </c>
      <c r="F41" s="20" t="s">
        <v>890</v>
      </c>
      <c r="G41" s="20" t="s">
        <v>692</v>
      </c>
      <c r="H41" s="20" t="s">
        <v>891</v>
      </c>
      <c r="I41" s="20" t="s">
        <v>596</v>
      </c>
      <c r="J41" s="21" t="n">
        <v>5</v>
      </c>
      <c r="K41" s="21" t="n">
        <v>4</v>
      </c>
      <c r="L41" s="21" t="n">
        <v>3</v>
      </c>
      <c r="M41" s="21" t="n">
        <v>4</v>
      </c>
      <c r="N41" s="21" t="n">
        <v>9</v>
      </c>
      <c r="O41" s="21" t="n">
        <v>5</v>
      </c>
      <c r="P41" s="22" t="n">
        <f aca="false">ROUND((J41*$C$3+K41*$E$3+L41*$G$3+(6-M41)*$I$3+O41*$K$3)/$L$3*20,1)</f>
        <v>81</v>
      </c>
      <c r="Q41" s="19" t="str">
        <f aca="false">IF(AND(P41&gt;=$N$3,N41&lt;=$R$3),"Now (0-12m)",IF(P41&gt;=$P$3,"Next (12-24m)","Later (24-36m)"))</f>
        <v>Now (0-12m)</v>
      </c>
      <c r="R41" s="20" t="s">
        <v>892</v>
      </c>
      <c r="S41" s="20" t="s">
        <v>893</v>
      </c>
      <c r="T41" s="20" t="s">
        <v>894</v>
      </c>
      <c r="U41" s="23" t="n">
        <f aca="false">P41+ROW()/100000</f>
        <v>81.00041</v>
      </c>
      <c r="V41" s="24" t="n">
        <f aca="false">RANK(U41,$U$6:$U$45,0)</f>
        <v>10</v>
      </c>
    </row>
    <row r="42" customFormat="false" ht="63.75" hidden="false" customHeight="true" outlineLevel="0" collapsed="false">
      <c r="A42" s="19" t="s">
        <v>895</v>
      </c>
      <c r="B42" s="19" t="s">
        <v>836</v>
      </c>
      <c r="C42" s="20" t="s">
        <v>847</v>
      </c>
      <c r="D42" s="20" t="s">
        <v>679</v>
      </c>
      <c r="E42" s="20" t="s">
        <v>896</v>
      </c>
      <c r="F42" s="20" t="s">
        <v>897</v>
      </c>
      <c r="G42" s="20" t="s">
        <v>898</v>
      </c>
      <c r="H42" s="20" t="s">
        <v>899</v>
      </c>
      <c r="I42" s="20" t="s">
        <v>900</v>
      </c>
      <c r="J42" s="21" t="n">
        <v>4</v>
      </c>
      <c r="K42" s="21" t="n">
        <v>3</v>
      </c>
      <c r="L42" s="21" t="n">
        <v>4</v>
      </c>
      <c r="M42" s="21" t="n">
        <v>4</v>
      </c>
      <c r="N42" s="21" t="n">
        <v>12</v>
      </c>
      <c r="O42" s="21" t="n">
        <v>4</v>
      </c>
      <c r="P42" s="22" t="n">
        <f aca="false">ROUND((J42*$C$3+K42*$E$3+L42*$G$3+(6-M42)*$I$3+O42*$K$3)/$L$3*20,1)</f>
        <v>70</v>
      </c>
      <c r="Q42" s="19" t="str">
        <f aca="false">IF(AND(P42&gt;=$N$3,N42&lt;=$R$3),"Now (0-12m)",IF(P42&gt;=$P$3,"Next (12-24m)","Later (24-36m)"))</f>
        <v>Next (12-24m)</v>
      </c>
      <c r="R42" s="20" t="s">
        <v>901</v>
      </c>
      <c r="S42" s="20" t="s">
        <v>902</v>
      </c>
      <c r="T42" s="20" t="s">
        <v>903</v>
      </c>
      <c r="U42" s="23" t="n">
        <f aca="false">P42+ROW()/100000</f>
        <v>70.00042</v>
      </c>
      <c r="V42" s="24" t="n">
        <f aca="false">RANK(U42,$U$6:$U$45,0)</f>
        <v>33</v>
      </c>
    </row>
    <row r="43" customFormat="false" ht="63.75" hidden="false" customHeight="true" outlineLevel="0" collapsed="false">
      <c r="A43" s="19" t="s">
        <v>904</v>
      </c>
      <c r="B43" s="19" t="s">
        <v>836</v>
      </c>
      <c r="C43" s="20" t="s">
        <v>375</v>
      </c>
      <c r="D43" s="20" t="s">
        <v>905</v>
      </c>
      <c r="E43" s="20" t="s">
        <v>906</v>
      </c>
      <c r="F43" s="20" t="s">
        <v>907</v>
      </c>
      <c r="G43" s="20" t="s">
        <v>908</v>
      </c>
      <c r="H43" s="20" t="s">
        <v>909</v>
      </c>
      <c r="I43" s="20" t="s">
        <v>625</v>
      </c>
      <c r="J43" s="21" t="n">
        <v>4</v>
      </c>
      <c r="K43" s="21" t="n">
        <v>3</v>
      </c>
      <c r="L43" s="21" t="n">
        <v>2</v>
      </c>
      <c r="M43" s="21" t="n">
        <v>4</v>
      </c>
      <c r="N43" s="21" t="n">
        <v>12</v>
      </c>
      <c r="O43" s="21" t="n">
        <v>4</v>
      </c>
      <c r="P43" s="22" t="n">
        <f aca="false">ROUND((J43*$C$3+K43*$E$3+L43*$G$3+(6-M43)*$I$3+O43*$K$3)/$L$3*20,1)</f>
        <v>64</v>
      </c>
      <c r="Q43" s="19" t="str">
        <f aca="false">IF(AND(P43&gt;=$N$3,N43&lt;=$R$3),"Now (0-12m)",IF(P43&gt;=$P$3,"Next (12-24m)","Later (24-36m)"))</f>
        <v>Later (24-36m)</v>
      </c>
      <c r="R43" s="20" t="s">
        <v>910</v>
      </c>
      <c r="S43" s="20" t="s">
        <v>911</v>
      </c>
      <c r="T43" s="20" t="s">
        <v>912</v>
      </c>
      <c r="U43" s="23" t="n">
        <f aca="false">P43+ROW()/100000</f>
        <v>64.00043</v>
      </c>
      <c r="V43" s="24" t="n">
        <f aca="false">RANK(U43,$U$6:$U$45,0)</f>
        <v>37</v>
      </c>
    </row>
    <row r="44" customFormat="false" ht="63.75" hidden="false" customHeight="true" outlineLevel="0" collapsed="false">
      <c r="A44" s="19" t="s">
        <v>913</v>
      </c>
      <c r="B44" s="19" t="s">
        <v>836</v>
      </c>
      <c r="C44" s="20" t="s">
        <v>375</v>
      </c>
      <c r="D44" s="20" t="s">
        <v>259</v>
      </c>
      <c r="E44" s="20" t="s">
        <v>914</v>
      </c>
      <c r="F44" s="20" t="s">
        <v>915</v>
      </c>
      <c r="G44" s="20" t="s">
        <v>565</v>
      </c>
      <c r="H44" s="20" t="s">
        <v>916</v>
      </c>
      <c r="I44" s="20" t="s">
        <v>587</v>
      </c>
      <c r="J44" s="21" t="n">
        <v>5</v>
      </c>
      <c r="K44" s="21" t="n">
        <v>5</v>
      </c>
      <c r="L44" s="21" t="n">
        <v>4</v>
      </c>
      <c r="M44" s="21" t="n">
        <v>2</v>
      </c>
      <c r="N44" s="21" t="n">
        <v>6</v>
      </c>
      <c r="O44" s="21" t="n">
        <v>5</v>
      </c>
      <c r="P44" s="22" t="n">
        <f aca="false">ROUND((J44*$C$3+K44*$E$3+L44*$G$3+(6-M44)*$I$3+O44*$K$3)/$L$3*20,1)</f>
        <v>94</v>
      </c>
      <c r="Q44" s="19" t="str">
        <f aca="false">IF(AND(P44&gt;=$N$3,N44&lt;=$R$3),"Now (0-12m)",IF(P44&gt;=$P$3,"Next (12-24m)","Later (24-36m)"))</f>
        <v>Now (0-12m)</v>
      </c>
      <c r="R44" s="20" t="s">
        <v>917</v>
      </c>
      <c r="S44" s="20" t="s">
        <v>918</v>
      </c>
      <c r="T44" s="20" t="s">
        <v>919</v>
      </c>
      <c r="U44" s="23" t="n">
        <f aca="false">P44+ROW()/100000</f>
        <v>94.00044</v>
      </c>
      <c r="V44" s="24" t="n">
        <f aca="false">RANK(U44,$U$6:$U$45,0)</f>
        <v>1</v>
      </c>
    </row>
    <row r="45" customFormat="false" ht="63.75" hidden="false" customHeight="true" outlineLevel="0" collapsed="false">
      <c r="A45" s="19" t="s">
        <v>920</v>
      </c>
      <c r="B45" s="19" t="s">
        <v>836</v>
      </c>
      <c r="C45" s="20" t="s">
        <v>610</v>
      </c>
      <c r="D45" s="20" t="s">
        <v>921</v>
      </c>
      <c r="E45" s="20" t="s">
        <v>922</v>
      </c>
      <c r="F45" s="20" t="s">
        <v>923</v>
      </c>
      <c r="G45" s="20" t="s">
        <v>614</v>
      </c>
      <c r="H45" s="20" t="s">
        <v>615</v>
      </c>
      <c r="I45" s="20" t="s">
        <v>868</v>
      </c>
      <c r="J45" s="21" t="n">
        <v>4</v>
      </c>
      <c r="K45" s="21" t="n">
        <v>4</v>
      </c>
      <c r="L45" s="21" t="n">
        <v>4</v>
      </c>
      <c r="M45" s="21" t="n">
        <v>2</v>
      </c>
      <c r="N45" s="21" t="n">
        <v>12</v>
      </c>
      <c r="O45" s="21" t="n">
        <v>3</v>
      </c>
      <c r="P45" s="22" t="n">
        <f aca="false">ROUND((J45*$C$3+K45*$E$3+L45*$G$3+(6-M45)*$I$3+O45*$K$3)/$L$3*20,1)</f>
        <v>76</v>
      </c>
      <c r="Q45" s="19" t="str">
        <f aca="false">IF(AND(P45&gt;=$N$3,N45&lt;=$R$3),"Now (0-12m)",IF(P45&gt;=$P$3,"Next (12-24m)","Later (24-36m)"))</f>
        <v>Next (12-24m)</v>
      </c>
      <c r="R45" s="20" t="s">
        <v>924</v>
      </c>
      <c r="S45" s="20" t="s">
        <v>925</v>
      </c>
      <c r="T45" s="20" t="s">
        <v>619</v>
      </c>
      <c r="U45" s="23" t="n">
        <f aca="false">P45+ROW()/100000</f>
        <v>76.00045</v>
      </c>
      <c r="V45" s="24" t="n">
        <f aca="false">RANK(U45,$U$6:$U$45,0)</f>
        <v>23</v>
      </c>
    </row>
    <row r="47" customFormat="false" ht="39" hidden="false" customHeight="true" outlineLevel="0" collapsed="false">
      <c r="A47" s="25" t="s">
        <v>926</v>
      </c>
      <c r="B47" s="25"/>
      <c r="C47" s="25"/>
      <c r="D47" s="25"/>
      <c r="E47" s="25"/>
      <c r="F47" s="25"/>
      <c r="G47" s="25"/>
      <c r="H47" s="25"/>
      <c r="I47" s="25"/>
      <c r="J47" s="25"/>
      <c r="K47" s="25"/>
      <c r="L47" s="25"/>
      <c r="M47" s="25"/>
      <c r="N47" s="25"/>
      <c r="O47" s="25"/>
      <c r="P47" s="25"/>
      <c r="Q47" s="25"/>
      <c r="R47" s="25"/>
      <c r="S47" s="25"/>
      <c r="T47" s="25"/>
    </row>
  </sheetData>
  <autoFilter ref="A5:V45"/>
  <mergeCells count="2">
    <mergeCell ref="A2:T2"/>
    <mergeCell ref="A47:T47"/>
  </mergeCells>
  <conditionalFormatting sqref="P6:P45">
    <cfRule type="colorScale" priority="2">
      <colorScale>
        <cfvo type="num" val="40"/>
        <cfvo type="num" val="60"/>
        <cfvo type="num" val="80"/>
        <color rgb="FFF8696B"/>
        <color rgb="FFFFEB84"/>
        <color rgb="FF63BE7B"/>
      </colorScale>
    </cfRule>
  </conditionalFormatting>
  <conditionalFormatting sqref="Q6:Q45">
    <cfRule type="expression" priority="3" aboveAverage="0" equalAverage="0" bottom="0" percent="0" rank="0" text="" dxfId="22">
      <formula>LEFT(Q6,3)="Now"</formula>
    </cfRule>
    <cfRule type="expression" priority="4" aboveAverage="0" equalAverage="0" bottom="0" percent="0" rank="0" text="" dxfId="23">
      <formula>LEFT(Q6,4)="Next"</formula>
    </cfRule>
    <cfRule type="expression" priority="5" aboveAverage="0" equalAverage="0" bottom="0" percent="0" rank="0" text="" dxfId="24">
      <formula>LEFT(Q6,5)="Later"</formula>
    </cfRule>
  </conditionalFormatting>
  <dataValidations count="2">
    <dataValidation allowBlank="false" error="Enter an integer from 1 to 5" errorStyle="stop" operator="between" showDropDown="false" showErrorMessage="false" showInputMessage="false" sqref="J6:M45 O6:O45" type="whole">
      <formula1>1</formula1>
      <formula2>5</formula2>
    </dataValidation>
    <dataValidation allowBlank="false" errorStyle="stop" operator="between" showDropDown="false" showErrorMessage="false" showInputMessage="false" sqref="N6:N45" type="whole">
      <formula1>1</formula1>
      <formula2>60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L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44"/>
    <col collapsed="false" customWidth="true" hidden="false" outlineLevel="0" max="6" min="4" style="0" width="14"/>
    <col collapsed="false" customWidth="true" hidden="false" outlineLevel="0" max="7" min="7" style="0" width="4"/>
    <col collapsed="false" customWidth="true" hidden="false" outlineLevel="0" max="8" min="8" style="0" width="8"/>
    <col collapsed="false" customWidth="true" hidden="false" outlineLevel="0" max="9" min="9" style="0" width="44"/>
    <col collapsed="false" customWidth="true" hidden="false" outlineLevel="0" max="11" min="10" style="0" width="12"/>
    <col collapsed="false" customWidth="true" hidden="false" outlineLevel="0" max="12" min="12" style="0" width="16"/>
  </cols>
  <sheetData>
    <row r="1" customFormat="false" ht="24" hidden="false" customHeight="true" outlineLevel="0" collapsed="false">
      <c r="A1" s="1" t="s">
        <v>927</v>
      </c>
    </row>
    <row r="2" customFormat="false" ht="30" hidden="false" customHeight="true" outlineLevel="0" collapsed="false">
      <c r="A2" s="2" t="s">
        <v>928</v>
      </c>
      <c r="B2" s="2"/>
      <c r="C2" s="2"/>
      <c r="D2" s="2"/>
      <c r="E2" s="2"/>
      <c r="F2" s="2"/>
      <c r="G2" s="2"/>
      <c r="H2" s="2"/>
      <c r="I2" s="2"/>
      <c r="J2" s="2"/>
      <c r="K2" s="2"/>
      <c r="L2" s="2"/>
    </row>
    <row r="4" customFormat="false" ht="19.5" hidden="false" customHeight="true" outlineLevel="0" collapsed="false">
      <c r="A4" s="3" t="s">
        <v>929</v>
      </c>
      <c r="B4" s="4"/>
      <c r="C4" s="4"/>
      <c r="D4" s="4"/>
      <c r="E4" s="4"/>
      <c r="F4" s="4"/>
    </row>
    <row r="5" customFormat="false" ht="30" hidden="false" customHeight="true" outlineLevel="0" collapsed="false">
      <c r="A5" s="5" t="s">
        <v>83</v>
      </c>
      <c r="B5" s="5" t="s">
        <v>930</v>
      </c>
      <c r="C5" s="5" t="s">
        <v>931</v>
      </c>
      <c r="D5" s="5" t="s">
        <v>932</v>
      </c>
      <c r="E5" s="5" t="s">
        <v>933</v>
      </c>
      <c r="F5" s="5" t="s">
        <v>934</v>
      </c>
    </row>
    <row r="6" customFormat="false" ht="15" hidden="false" customHeight="false" outlineLevel="0" collapsed="false">
      <c r="A6" s="26" t="s">
        <v>561</v>
      </c>
      <c r="B6" s="27" t="n">
        <f aca="false">COUNTIF('Use-Case Portfolio'!$B$6:$B$45,A6)</f>
        <v>7</v>
      </c>
      <c r="C6" s="28" t="n">
        <f aca="false">IFERROR(ROUND(AVERAGEIF('Use-Case Portfolio'!$B$6:$B$45,A6,'Use-Case Portfolio'!$P$6:$P$45),1),0)</f>
        <v>79.1</v>
      </c>
      <c r="D6" s="27" t="n">
        <f aca="false">COUNTIFS('Use-Case Portfolio'!$B$6:$B$45,A6,'Use-Case Portfolio'!$Q$6:$Q$45,"Now*")</f>
        <v>5</v>
      </c>
      <c r="E6" s="27" t="n">
        <f aca="false">COUNTIFS('Use-Case Portfolio'!$B$6:$B$45,A6,'Use-Case Portfolio'!$Q$6:$Q$45,"Next*")</f>
        <v>1</v>
      </c>
      <c r="F6" s="27" t="n">
        <f aca="false">COUNTIFS('Use-Case Portfolio'!$B$6:$B$45,A6,'Use-Case Portfolio'!$Q$6:$Q$45,"Later*")</f>
        <v>1</v>
      </c>
    </row>
    <row r="7" customFormat="false" ht="15" hidden="false" customHeight="false" outlineLevel="0" collapsed="false">
      <c r="A7" s="26" t="s">
        <v>630</v>
      </c>
      <c r="B7" s="27" t="n">
        <f aca="false">COUNTIF('Use-Case Portfolio'!$B$6:$B$45,A7)</f>
        <v>11</v>
      </c>
      <c r="C7" s="28" t="n">
        <f aca="false">IFERROR(ROUND(AVERAGEIF('Use-Case Portfolio'!$B$6:$B$45,A7,'Use-Case Portfolio'!$P$6:$P$45),1),0)</f>
        <v>75.2</v>
      </c>
      <c r="D7" s="27" t="n">
        <f aca="false">COUNTIFS('Use-Case Portfolio'!$B$6:$B$45,A7,'Use-Case Portfolio'!$Q$6:$Q$45,"Now*")</f>
        <v>3</v>
      </c>
      <c r="E7" s="27" t="n">
        <f aca="false">COUNTIFS('Use-Case Portfolio'!$B$6:$B$45,A7,'Use-Case Portfolio'!$Q$6:$Q$45,"Next*")</f>
        <v>6</v>
      </c>
      <c r="F7" s="27" t="n">
        <f aca="false">COUNTIFS('Use-Case Portfolio'!$B$6:$B$45,A7,'Use-Case Portfolio'!$Q$6:$Q$45,"Later*")</f>
        <v>2</v>
      </c>
    </row>
    <row r="8" customFormat="false" ht="15" hidden="false" customHeight="false" outlineLevel="0" collapsed="false">
      <c r="A8" s="26" t="s">
        <v>734</v>
      </c>
      <c r="B8" s="27" t="n">
        <f aca="false">COUNTIF('Use-Case Portfolio'!$B$6:$B$45,A8)</f>
        <v>6</v>
      </c>
      <c r="C8" s="28" t="n">
        <f aca="false">IFERROR(ROUND(AVERAGEIF('Use-Case Portfolio'!$B$6:$B$45,A8,'Use-Case Portfolio'!$P$6:$P$45),1),0)</f>
        <v>78</v>
      </c>
      <c r="D8" s="27" t="n">
        <f aca="false">COUNTIFS('Use-Case Portfolio'!$B$6:$B$45,A8,'Use-Case Portfolio'!$Q$6:$Q$45,"Now*")</f>
        <v>2</v>
      </c>
      <c r="E8" s="27" t="n">
        <f aca="false">COUNTIFS('Use-Case Portfolio'!$B$6:$B$45,A8,'Use-Case Portfolio'!$Q$6:$Q$45,"Next*")</f>
        <v>4</v>
      </c>
      <c r="F8" s="27" t="n">
        <f aca="false">COUNTIFS('Use-Case Portfolio'!$B$6:$B$45,A8,'Use-Case Portfolio'!$Q$6:$Q$45,"Later*")</f>
        <v>0</v>
      </c>
    </row>
    <row r="9" customFormat="false" ht="15" hidden="false" customHeight="false" outlineLevel="0" collapsed="false">
      <c r="A9" s="26" t="s">
        <v>791</v>
      </c>
      <c r="B9" s="27" t="n">
        <f aca="false">COUNTIF('Use-Case Portfolio'!$B$6:$B$45,A9)</f>
        <v>5</v>
      </c>
      <c r="C9" s="28" t="n">
        <f aca="false">IFERROR(ROUND(AVERAGEIF('Use-Case Portfolio'!$B$6:$B$45,A9,'Use-Case Portfolio'!$P$6:$P$45),1),0)</f>
        <v>71.2</v>
      </c>
      <c r="D9" s="27" t="n">
        <f aca="false">COUNTIFS('Use-Case Portfolio'!$B$6:$B$45,A9,'Use-Case Portfolio'!$Q$6:$Q$45,"Now*")</f>
        <v>2</v>
      </c>
      <c r="E9" s="27" t="n">
        <f aca="false">COUNTIFS('Use-Case Portfolio'!$B$6:$B$45,A9,'Use-Case Portfolio'!$Q$6:$Q$45,"Next*")</f>
        <v>1</v>
      </c>
      <c r="F9" s="27" t="n">
        <f aca="false">COUNTIFS('Use-Case Portfolio'!$B$6:$B$45,A9,'Use-Case Portfolio'!$Q$6:$Q$45,"Later*")</f>
        <v>2</v>
      </c>
    </row>
    <row r="10" customFormat="false" ht="15" hidden="false" customHeight="false" outlineLevel="0" collapsed="false">
      <c r="A10" s="26" t="s">
        <v>836</v>
      </c>
      <c r="B10" s="27" t="n">
        <f aca="false">COUNTIF('Use-Case Portfolio'!$B$6:$B$45,A10)</f>
        <v>11</v>
      </c>
      <c r="C10" s="28" t="n">
        <f aca="false">IFERROR(ROUND(AVERAGEIF('Use-Case Portfolio'!$B$6:$B$45,A10,'Use-Case Portfolio'!$P$6:$P$45),1),0)</f>
        <v>78.5</v>
      </c>
      <c r="D10" s="27" t="n">
        <f aca="false">COUNTIFS('Use-Case Portfolio'!$B$6:$B$45,A10,'Use-Case Portfolio'!$Q$6:$Q$45,"Now*")</f>
        <v>6</v>
      </c>
      <c r="E10" s="27" t="n">
        <f aca="false">COUNTIFS('Use-Case Portfolio'!$B$6:$B$45,A10,'Use-Case Portfolio'!$Q$6:$Q$45,"Next*")</f>
        <v>4</v>
      </c>
      <c r="F10" s="27" t="n">
        <f aca="false">COUNTIFS('Use-Case Portfolio'!$B$6:$B$45,A10,'Use-Case Portfolio'!$Q$6:$Q$45,"Later*")</f>
        <v>1</v>
      </c>
    </row>
    <row r="11" customFormat="false" ht="15" hidden="false" customHeight="false" outlineLevel="0" collapsed="false">
      <c r="A11" s="29" t="s">
        <v>935</v>
      </c>
      <c r="B11" s="30" t="n">
        <f aca="false">SUM(B6:B10)</f>
        <v>40</v>
      </c>
      <c r="C11" s="31" t="n">
        <f aca="false">ROUND(AVERAGE('Use-Case Portfolio'!$P$6:$P$45),1)</f>
        <v>76.7</v>
      </c>
      <c r="D11" s="30" t="n">
        <f aca="false">SUM(D6:D10)</f>
        <v>18</v>
      </c>
      <c r="E11" s="30" t="n">
        <f aca="false">SUM(E6:E10)</f>
        <v>16</v>
      </c>
      <c r="F11" s="30" t="n">
        <f aca="false">SUM(F6:F10)</f>
        <v>6</v>
      </c>
    </row>
    <row r="13" customFormat="false" ht="19.5" hidden="false" customHeight="true" outlineLevel="0" collapsed="false">
      <c r="A13" s="3" t="s">
        <v>936</v>
      </c>
      <c r="B13" s="4"/>
      <c r="C13" s="4"/>
      <c r="D13" s="4"/>
      <c r="E13" s="4"/>
      <c r="F13" s="4"/>
    </row>
    <row r="14" customFormat="false" ht="23.85" hidden="false" customHeight="false" outlineLevel="0" collapsed="false">
      <c r="A14" s="5" t="s">
        <v>120</v>
      </c>
      <c r="B14" s="5" t="s">
        <v>937</v>
      </c>
      <c r="C14" s="5" t="s">
        <v>938</v>
      </c>
      <c r="D14" s="5" t="s">
        <v>939</v>
      </c>
      <c r="E14" s="5" t="s">
        <v>940</v>
      </c>
      <c r="F14" s="5" t="s">
        <v>941</v>
      </c>
    </row>
    <row r="15" customFormat="false" ht="30" hidden="false" customHeight="true" outlineLevel="0" collapsed="false">
      <c r="A15" s="26" t="s">
        <v>942</v>
      </c>
      <c r="B15" s="24" t="n">
        <f aca="false">D11</f>
        <v>18</v>
      </c>
      <c r="C15" s="32" t="n">
        <f aca="false">IFERROR(B15/$B$11,0)</f>
        <v>0.45</v>
      </c>
      <c r="D15" s="33" t="n">
        <v>0.45</v>
      </c>
      <c r="E15" s="34" t="n">
        <f aca="false">(C15-D15)*100</f>
        <v>0</v>
      </c>
      <c r="F15" s="20" t="s">
        <v>943</v>
      </c>
    </row>
    <row r="16" customFormat="false" ht="30" hidden="false" customHeight="true" outlineLevel="0" collapsed="false">
      <c r="A16" s="26" t="s">
        <v>944</v>
      </c>
      <c r="B16" s="24" t="n">
        <f aca="false">E11</f>
        <v>16</v>
      </c>
      <c r="C16" s="32" t="n">
        <f aca="false">IFERROR(B16/$B$11,0)</f>
        <v>0.4</v>
      </c>
      <c r="D16" s="33" t="n">
        <v>0.4</v>
      </c>
      <c r="E16" s="34" t="n">
        <f aca="false">(C16-D16)*100</f>
        <v>0</v>
      </c>
      <c r="F16" s="20" t="s">
        <v>945</v>
      </c>
    </row>
    <row r="17" customFormat="false" ht="30" hidden="false" customHeight="true" outlineLevel="0" collapsed="false">
      <c r="A17" s="26" t="s">
        <v>946</v>
      </c>
      <c r="B17" s="24" t="n">
        <f aca="false">F11</f>
        <v>6</v>
      </c>
      <c r="C17" s="32" t="n">
        <f aca="false">IFERROR(B17/$B$11,0)</f>
        <v>0.15</v>
      </c>
      <c r="D17" s="33" t="n">
        <v>0.15</v>
      </c>
      <c r="E17" s="34" t="n">
        <f aca="false">(C17-D17)*100</f>
        <v>0</v>
      </c>
      <c r="F17" s="20" t="s">
        <v>947</v>
      </c>
    </row>
    <row r="18" customFormat="false" ht="25.5" hidden="false" customHeight="true" outlineLevel="0" collapsed="false">
      <c r="A18" s="25" t="s">
        <v>948</v>
      </c>
      <c r="B18" s="25"/>
      <c r="C18" s="25"/>
      <c r="D18" s="25"/>
      <c r="E18" s="25"/>
      <c r="F18" s="25"/>
    </row>
    <row r="20" customFormat="false" ht="19.5" hidden="false" customHeight="true" outlineLevel="0" collapsed="false">
      <c r="A20" s="3" t="s">
        <v>949</v>
      </c>
      <c r="B20" s="4"/>
      <c r="C20" s="4"/>
      <c r="D20" s="4"/>
      <c r="E20" s="4"/>
      <c r="F20" s="4"/>
    </row>
    <row r="21" customFormat="false" ht="15" hidden="false" customHeight="false" outlineLevel="0" collapsed="false">
      <c r="A21" s="5" t="s">
        <v>559</v>
      </c>
      <c r="B21" s="5" t="s">
        <v>543</v>
      </c>
      <c r="C21" s="5" t="s">
        <v>544</v>
      </c>
      <c r="D21" s="5" t="s">
        <v>83</v>
      </c>
      <c r="E21" s="5" t="s">
        <v>950</v>
      </c>
      <c r="F21" s="5" t="s">
        <v>120</v>
      </c>
    </row>
    <row r="22" customFormat="false" ht="27.75" hidden="false" customHeight="true" outlineLevel="0" collapsed="false">
      <c r="A22" s="7" t="n">
        <v>1</v>
      </c>
      <c r="B22" s="35" t="str">
        <f aca="false">INDEX('Use-Case Portfolio'!$A$6:$A$45,MATCH(A22,'Use-Case Portfolio'!$V$6:$V$45,0))</f>
        <v>E-10</v>
      </c>
      <c r="C22" s="36" t="str">
        <f aca="false">INDEX('Use-Case Portfolio'!$E$6:$E$45,MATCH(A22,'Use-Case Portfolio'!$V$6:$V$45,0))</f>
        <v>CitiService Agent Assist — 6,000 agents / 72 countries</v>
      </c>
      <c r="D22" s="35" t="str">
        <f aca="false">INDEX('Use-Case Portfolio'!$B$6:$B$45,MATCH(A22,'Use-Case Portfolio'!$V$6:$V$45,0))</f>
        <v>Efficiency</v>
      </c>
      <c r="E22" s="28" t="n">
        <f aca="false">INDEX('Use-Case Portfolio'!$P$6:$P$45,MATCH(A22,'Use-Case Portfolio'!$V$6:$V$45,0))</f>
        <v>94</v>
      </c>
      <c r="F22" s="35" t="str">
        <f aca="false">INDEX('Use-Case Portfolio'!$Q$6:$Q$45,MATCH(A22,'Use-Case Portfolio'!$V$6:$V$45,0))</f>
        <v>Now (0-12m)</v>
      </c>
    </row>
    <row r="23" customFormat="false" ht="27.75" hidden="false" customHeight="true" outlineLevel="0" collapsed="false">
      <c r="A23" s="7" t="n">
        <v>2</v>
      </c>
      <c r="B23" s="35" t="str">
        <f aca="false">INDEX('Use-Case Portfolio'!$A$6:$A$45,MATCH(A23,'Use-Case Portfolio'!$V$6:$V$45,0))</f>
        <v>E-01</v>
      </c>
      <c r="C23" s="36" t="str">
        <f aca="false">INDEX('Use-Case Portfolio'!$E$6:$E$45,MATCH(A23,'Use-Case Portfolio'!$V$6:$V$45,0))</f>
        <v>IDP for onboarding/KYC documents — all markets</v>
      </c>
      <c r="D23" s="35" t="str">
        <f aca="false">INDEX('Use-Case Portfolio'!$B$6:$B$45,MATCH(A23,'Use-Case Portfolio'!$V$6:$V$45,0))</f>
        <v>Efficiency</v>
      </c>
      <c r="E23" s="28" t="n">
        <f aca="false">INDEX('Use-Case Portfolio'!$P$6:$P$45,MATCH(A23,'Use-Case Portfolio'!$V$6:$V$45,0))</f>
        <v>91</v>
      </c>
      <c r="F23" s="35" t="str">
        <f aca="false">INDEX('Use-Case Portfolio'!$Q$6:$Q$45,MATCH(A23,'Use-Case Portfolio'!$V$6:$V$45,0))</f>
        <v>Now (0-12m)</v>
      </c>
    </row>
    <row r="24" customFormat="false" ht="27.75" hidden="false" customHeight="true" outlineLevel="0" collapsed="false">
      <c r="A24" s="7" t="n">
        <v>3</v>
      </c>
      <c r="B24" s="35" t="str">
        <f aca="false">INDEX('Use-Case Portfolio'!$A$6:$A$45,MATCH(A24,'Use-Case Portfolio'!$V$6:$V$45,0))</f>
        <v>I-03</v>
      </c>
      <c r="C24" s="36" t="str">
        <f aca="false">INDEX('Use-Case Portfolio'!$E$6:$E$45,MATCH(A24,'Use-Case Portfolio'!$V$6:$V$45,0))</f>
        <v>Ops Assist — investigations &amp; inquiry copilot</v>
      </c>
      <c r="D24" s="35" t="str">
        <f aca="false">INDEX('Use-Case Portfolio'!$B$6:$B$45,MATCH(A24,'Use-Case Portfolio'!$V$6:$V$45,0))</f>
        <v>Internal</v>
      </c>
      <c r="E24" s="28" t="n">
        <f aca="false">INDEX('Use-Case Portfolio'!$P$6:$P$45,MATCH(A24,'Use-Case Portfolio'!$V$6:$V$45,0))</f>
        <v>90</v>
      </c>
      <c r="F24" s="35" t="str">
        <f aca="false">INDEX('Use-Case Portfolio'!$Q$6:$Q$45,MATCH(A24,'Use-Case Portfolio'!$V$6:$V$45,0))</f>
        <v>Now (0-12m)</v>
      </c>
    </row>
    <row r="25" customFormat="false" ht="27.75" hidden="false" customHeight="true" outlineLevel="0" collapsed="false">
      <c r="A25" s="7" t="n">
        <v>4</v>
      </c>
      <c r="B25" s="35" t="str">
        <f aca="false">INDEX('Use-Case Portfolio'!$A$6:$A$45,MATCH(A25,'Use-Case Portfolio'!$V$6:$V$45,0))</f>
        <v>I-01</v>
      </c>
      <c r="C25" s="36" t="str">
        <f aca="false">INDEX('Use-Case Portfolio'!$E$6:$E$45,MATCH(A25,'Use-Case Portfolio'!$V$6:$V$45,0))</f>
        <v>Sales Assist / RFP response engine</v>
      </c>
      <c r="D25" s="35" t="str">
        <f aca="false">INDEX('Use-Case Portfolio'!$B$6:$B$45,MATCH(A25,'Use-Case Portfolio'!$V$6:$V$45,0))</f>
        <v>Internal</v>
      </c>
      <c r="E25" s="28" t="n">
        <f aca="false">INDEX('Use-Case Portfolio'!$P$6:$P$45,MATCH(A25,'Use-Case Portfolio'!$V$6:$V$45,0))</f>
        <v>88</v>
      </c>
      <c r="F25" s="35" t="str">
        <f aca="false">INDEX('Use-Case Portfolio'!$Q$6:$Q$45,MATCH(A25,'Use-Case Portfolio'!$V$6:$V$45,0))</f>
        <v>Now (0-12m)</v>
      </c>
    </row>
    <row r="26" customFormat="false" ht="27.75" hidden="false" customHeight="true" outlineLevel="0" collapsed="false">
      <c r="A26" s="7" t="n">
        <v>5</v>
      </c>
      <c r="B26" s="35" t="str">
        <f aca="false">INDEX('Use-Case Portfolio'!$A$6:$A$45,MATCH(A26,'Use-Case Portfolio'!$V$6:$V$45,0))</f>
        <v>E-03</v>
      </c>
      <c r="C26" s="36" t="str">
        <f aca="false">INDEX('Use-Case Portfolio'!$E$6:$E$45,MATCH(A26,'Use-Case Portfolio'!$V$6:$V$45,0))</f>
        <v>Payment repair &amp; STP uplift</v>
      </c>
      <c r="D26" s="35" t="str">
        <f aca="false">INDEX('Use-Case Portfolio'!$B$6:$B$45,MATCH(A26,'Use-Case Portfolio'!$V$6:$V$45,0))</f>
        <v>Efficiency</v>
      </c>
      <c r="E26" s="28" t="n">
        <f aca="false">INDEX('Use-Case Portfolio'!$P$6:$P$45,MATCH(A26,'Use-Case Portfolio'!$V$6:$V$45,0))</f>
        <v>87</v>
      </c>
      <c r="F26" s="35" t="str">
        <f aca="false">INDEX('Use-Case Portfolio'!$Q$6:$Q$45,MATCH(A26,'Use-Case Portfolio'!$V$6:$V$45,0))</f>
        <v>Now (0-12m)</v>
      </c>
    </row>
    <row r="27" customFormat="false" ht="27.75" hidden="false" customHeight="true" outlineLevel="0" collapsed="false">
      <c r="A27" s="7" t="n">
        <v>6</v>
      </c>
      <c r="B27" s="35" t="str">
        <f aca="false">INDEX('Use-Case Portfolio'!$A$6:$A$45,MATCH(A27,'Use-Case Portfolio'!$V$6:$V$45,0))</f>
        <v>P-01</v>
      </c>
      <c r="C27" s="36" t="str">
        <f aca="false">INDEX('Use-Case Portfolio'!$E$6:$E$45,MATCH(A27,'Use-Case Portfolio'!$V$6:$V$45,0))</f>
        <v>Fee leakage &amp; billing accuracy engine</v>
      </c>
      <c r="D27" s="35" t="str">
        <f aca="false">INDEX('Use-Case Portfolio'!$B$6:$B$45,MATCH(A27,'Use-Case Portfolio'!$V$6:$V$45,0))</f>
        <v>Pricing</v>
      </c>
      <c r="E27" s="28" t="n">
        <f aca="false">INDEX('Use-Case Portfolio'!$P$6:$P$45,MATCH(A27,'Use-Case Portfolio'!$V$6:$V$45,0))</f>
        <v>87</v>
      </c>
      <c r="F27" s="35" t="str">
        <f aca="false">INDEX('Use-Case Portfolio'!$Q$6:$Q$45,MATCH(A27,'Use-Case Portfolio'!$V$6:$V$45,0))</f>
        <v>Now (0-12m)</v>
      </c>
    </row>
    <row r="28" customFormat="false" ht="27.75" hidden="false" customHeight="true" outlineLevel="0" collapsed="false">
      <c r="A28" s="7" t="n">
        <v>7</v>
      </c>
      <c r="B28" s="35" t="str">
        <f aca="false">INDEX('Use-Case Portfolio'!$A$6:$A$45,MATCH(A28,'Use-Case Portfolio'!$V$6:$V$45,0))</f>
        <v>C-01</v>
      </c>
      <c r="C28" s="36" t="str">
        <f aca="false">INDEX('Use-Case Portfolio'!$E$6:$E$45,MATCH(A28,'Use-Case Portfolio'!$V$6:$V$45,0))</f>
        <v>Cash-flow forecasting for treasurers (in CitiDirect)</v>
      </c>
      <c r="D28" s="35" t="str">
        <f aca="false">INDEX('Use-Case Portfolio'!$B$6:$B$45,MATCH(A28,'Use-Case Portfolio'!$V$6:$V$45,0))</f>
        <v>Client</v>
      </c>
      <c r="E28" s="28" t="n">
        <f aca="false">INDEX('Use-Case Portfolio'!$P$6:$P$45,MATCH(A28,'Use-Case Portfolio'!$V$6:$V$45,0))</f>
        <v>87</v>
      </c>
      <c r="F28" s="35" t="str">
        <f aca="false">INDEX('Use-Case Portfolio'!$Q$6:$Q$45,MATCH(A28,'Use-Case Portfolio'!$V$6:$V$45,0))</f>
        <v>Now (0-12m)</v>
      </c>
    </row>
    <row r="29" customFormat="false" ht="27.75" hidden="false" customHeight="true" outlineLevel="0" collapsed="false">
      <c r="A29" s="7" t="n">
        <v>8</v>
      </c>
      <c r="B29" s="35" t="str">
        <f aca="false">INDEX('Use-Case Portfolio'!$A$6:$A$45,MATCH(A29,'Use-Case Portfolio'!$V$6:$V$45,0))</f>
        <v>C-05</v>
      </c>
      <c r="C29" s="36" t="str">
        <f aca="false">INDEX('Use-Case Portfolio'!$E$6:$E$45,MATCH(A29,'Use-Case Portfolio'!$V$6:$V$45,0))</f>
        <v>CitiDirect AI assistant — scale to 30 markets</v>
      </c>
      <c r="D29" s="35" t="str">
        <f aca="false">INDEX('Use-Case Portfolio'!$B$6:$B$45,MATCH(A29,'Use-Case Portfolio'!$V$6:$V$45,0))</f>
        <v>Client</v>
      </c>
      <c r="E29" s="28" t="n">
        <f aca="false">INDEX('Use-Case Portfolio'!$P$6:$P$45,MATCH(A29,'Use-Case Portfolio'!$V$6:$V$45,0))</f>
        <v>85</v>
      </c>
      <c r="F29" s="35" t="str">
        <f aca="false">INDEX('Use-Case Portfolio'!$Q$6:$Q$45,MATCH(A29,'Use-Case Portfolio'!$V$6:$V$45,0))</f>
        <v>Now (0-12m)</v>
      </c>
    </row>
    <row r="30" customFormat="false" ht="27.75" hidden="false" customHeight="true" outlineLevel="0" collapsed="false">
      <c r="A30" s="7" t="n">
        <v>9</v>
      </c>
      <c r="B30" s="35" t="str">
        <f aca="false">INDEX('Use-Case Portfolio'!$A$6:$A$45,MATCH(A30,'Use-Case Portfolio'!$V$6:$V$45,0))</f>
        <v>I-06</v>
      </c>
      <c r="C30" s="36" t="str">
        <f aca="false">INDEX('Use-Case Portfolio'!$E$6:$E$45,MATCH(A30,'Use-Case Portfolio'!$V$6:$V$45,0))</f>
        <v>Tech Assist — developer agents on Services platforms</v>
      </c>
      <c r="D30" s="35" t="str">
        <f aca="false">INDEX('Use-Case Portfolio'!$B$6:$B$45,MATCH(A30,'Use-Case Portfolio'!$V$6:$V$45,0))</f>
        <v>Internal</v>
      </c>
      <c r="E30" s="28" t="n">
        <f aca="false">INDEX('Use-Case Portfolio'!$P$6:$P$45,MATCH(A30,'Use-Case Portfolio'!$V$6:$V$45,0))</f>
        <v>84</v>
      </c>
      <c r="F30" s="35" t="str">
        <f aca="false">INDEX('Use-Case Portfolio'!$Q$6:$Q$45,MATCH(A30,'Use-Case Portfolio'!$V$6:$V$45,0))</f>
        <v>Now (0-12m)</v>
      </c>
    </row>
    <row r="31" customFormat="false" ht="27.75" hidden="false" customHeight="true" outlineLevel="0" collapsed="false">
      <c r="A31" s="7" t="n">
        <v>10</v>
      </c>
      <c r="B31" s="35" t="str">
        <f aca="false">INDEX('Use-Case Portfolio'!$A$6:$A$45,MATCH(A31,'Use-Case Portfolio'!$V$6:$V$45,0))</f>
        <v>E-07</v>
      </c>
      <c r="C31" s="36" t="str">
        <f aca="false">INDEX('Use-Case Portfolio'!$E$6:$E$45,MATCH(A31,'Use-Case Portfolio'!$V$6:$V$45,0))</f>
        <v>Trade finance document checking</v>
      </c>
      <c r="D31" s="35" t="str">
        <f aca="false">INDEX('Use-Case Portfolio'!$B$6:$B$45,MATCH(A31,'Use-Case Portfolio'!$V$6:$V$45,0))</f>
        <v>Efficiency</v>
      </c>
      <c r="E31" s="28" t="n">
        <f aca="false">INDEX('Use-Case Portfolio'!$P$6:$P$45,MATCH(A31,'Use-Case Portfolio'!$V$6:$V$45,0))</f>
        <v>81</v>
      </c>
      <c r="F31" s="35" t="str">
        <f aca="false">INDEX('Use-Case Portfolio'!$Q$6:$Q$45,MATCH(A31,'Use-Case Portfolio'!$V$6:$V$45,0))</f>
        <v>Now (0-12m)</v>
      </c>
    </row>
    <row r="32" customFormat="false" ht="27.75" hidden="false" customHeight="true" outlineLevel="0" collapsed="false">
      <c r="A32" s="7" t="n">
        <v>11</v>
      </c>
      <c r="B32" s="35" t="str">
        <f aca="false">INDEX('Use-Case Portfolio'!$A$6:$A$45,MATCH(A32,'Use-Case Portfolio'!$V$6:$V$45,0))</f>
        <v>D-01</v>
      </c>
      <c r="C32" s="36" t="str">
        <f aca="false">INDEX('Use-Case Portfolio'!$E$6:$E$45,MATCH(A32,'Use-Case Portfolio'!$V$6:$V$45,0))</f>
        <v>Discovery synthesis from inquiries &amp; interviews</v>
      </c>
      <c r="D32" s="35" t="str">
        <f aca="false">INDEX('Use-Case Portfolio'!$B$6:$B$45,MATCH(A32,'Use-Case Portfolio'!$V$6:$V$45,0))</f>
        <v>Product</v>
      </c>
      <c r="E32" s="28" t="n">
        <f aca="false">INDEX('Use-Case Portfolio'!$P$6:$P$45,MATCH(A32,'Use-Case Portfolio'!$V$6:$V$45,0))</f>
        <v>81</v>
      </c>
      <c r="F32" s="35" t="str">
        <f aca="false">INDEX('Use-Case Portfolio'!$Q$6:$Q$45,MATCH(A32,'Use-Case Portfolio'!$V$6:$V$45,0))</f>
        <v>Now (0-12m)</v>
      </c>
    </row>
    <row r="33" customFormat="false" ht="27.75" hidden="false" customHeight="true" outlineLevel="0" collapsed="false">
      <c r="A33" s="7" t="n">
        <v>12</v>
      </c>
      <c r="B33" s="35" t="str">
        <f aca="false">INDEX('Use-Case Portfolio'!$A$6:$A$45,MATCH(A33,'Use-Case Portfolio'!$V$6:$V$45,0))</f>
        <v>P-06</v>
      </c>
      <c r="C33" s="36" t="str">
        <f aca="false">INDEX('Use-Case Portfolio'!$E$6:$E$45,MATCH(A33,'Use-Case Portfolio'!$V$6:$V$45,0))</f>
        <v>Attrition &amp; wallet-share early warning</v>
      </c>
      <c r="D33" s="35" t="str">
        <f aca="false">INDEX('Use-Case Portfolio'!$B$6:$B$45,MATCH(A33,'Use-Case Portfolio'!$V$6:$V$45,0))</f>
        <v>Pricing</v>
      </c>
      <c r="E33" s="28" t="n">
        <f aca="false">INDEX('Use-Case Portfolio'!$P$6:$P$45,MATCH(A33,'Use-Case Portfolio'!$V$6:$V$45,0))</f>
        <v>80</v>
      </c>
      <c r="F33" s="35" t="str">
        <f aca="false">INDEX('Use-Case Portfolio'!$Q$6:$Q$45,MATCH(A33,'Use-Case Portfolio'!$V$6:$V$45,0))</f>
        <v>Now (0-12m)</v>
      </c>
    </row>
  </sheetData>
  <mergeCells count="2">
    <mergeCell ref="A2:L2"/>
    <mergeCell ref="A18:F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3" min="3" style="0" width="22"/>
    <col collapsed="false" customWidth="true" hidden="false" outlineLevel="0" max="4" min="4" style="0" width="44"/>
    <col collapsed="false" customWidth="true" hidden="false" outlineLevel="0" max="5" min="5" style="0" width="34"/>
    <col collapsed="false" customWidth="true" hidden="false" outlineLevel="0" max="6" min="6" style="0" width="40"/>
  </cols>
  <sheetData>
    <row r="1" customFormat="false" ht="24" hidden="false" customHeight="true" outlineLevel="0" collapsed="false">
      <c r="A1" s="1" t="s">
        <v>951</v>
      </c>
    </row>
    <row r="2" customFormat="false" ht="30" hidden="false" customHeight="true" outlineLevel="0" collapsed="false">
      <c r="A2" s="2" t="s">
        <v>952</v>
      </c>
      <c r="B2" s="2"/>
      <c r="C2" s="2"/>
      <c r="D2" s="2"/>
      <c r="E2" s="2"/>
      <c r="F2" s="2"/>
    </row>
    <row r="4" customFormat="false" ht="19.5" hidden="false" customHeight="true" outlineLevel="0" collapsed="false">
      <c r="A4" s="3" t="s">
        <v>953</v>
      </c>
      <c r="B4" s="4"/>
      <c r="C4" s="4"/>
      <c r="D4" s="4"/>
      <c r="E4" s="4"/>
      <c r="F4" s="4"/>
    </row>
    <row r="5" customFormat="false" ht="30" hidden="false" customHeight="true" outlineLevel="0" collapsed="false">
      <c r="A5" s="5" t="s">
        <v>954</v>
      </c>
      <c r="B5" s="5" t="s">
        <v>955</v>
      </c>
      <c r="C5" s="5" t="s">
        <v>956</v>
      </c>
      <c r="D5" s="5" t="s">
        <v>957</v>
      </c>
      <c r="E5" s="5" t="s">
        <v>958</v>
      </c>
      <c r="F5" s="5"/>
    </row>
    <row r="6" customFormat="false" ht="42.75" hidden="false" customHeight="true" outlineLevel="0" collapsed="false">
      <c r="A6" s="6" t="s">
        <v>959</v>
      </c>
      <c r="B6" s="6" t="s">
        <v>960</v>
      </c>
      <c r="C6" s="6" t="s">
        <v>961</v>
      </c>
      <c r="D6" s="6" t="s">
        <v>962</v>
      </c>
      <c r="E6" s="6" t="s">
        <v>963</v>
      </c>
      <c r="F6" s="6"/>
    </row>
    <row r="7" customFormat="false" ht="42.75" hidden="false" customHeight="true" outlineLevel="0" collapsed="false">
      <c r="A7" s="6" t="s">
        <v>964</v>
      </c>
      <c r="B7" s="6" t="s">
        <v>965</v>
      </c>
      <c r="C7" s="6" t="s">
        <v>966</v>
      </c>
      <c r="D7" s="6" t="s">
        <v>967</v>
      </c>
      <c r="E7" s="6" t="s">
        <v>968</v>
      </c>
      <c r="F7" s="6"/>
    </row>
    <row r="8" customFormat="false" ht="42.75" hidden="false" customHeight="true" outlineLevel="0" collapsed="false">
      <c r="A8" s="6" t="s">
        <v>969</v>
      </c>
      <c r="B8" s="6" t="s">
        <v>970</v>
      </c>
      <c r="C8" s="6" t="s">
        <v>971</v>
      </c>
      <c r="D8" s="6" t="s">
        <v>972</v>
      </c>
      <c r="E8" s="6" t="s">
        <v>973</v>
      </c>
      <c r="F8" s="6"/>
    </row>
    <row r="9" customFormat="false" ht="42.75" hidden="false" customHeight="true" outlineLevel="0" collapsed="false">
      <c r="A9" s="6" t="s">
        <v>974</v>
      </c>
      <c r="B9" s="6" t="s">
        <v>975</v>
      </c>
      <c r="C9" s="6" t="s">
        <v>976</v>
      </c>
      <c r="D9" s="6" t="s">
        <v>977</v>
      </c>
      <c r="E9" s="6" t="s">
        <v>978</v>
      </c>
      <c r="F9" s="6"/>
    </row>
    <row r="10" customFormat="false" ht="42.75" hidden="false" customHeight="true" outlineLevel="0" collapsed="false">
      <c r="A10" s="6" t="s">
        <v>979</v>
      </c>
      <c r="B10" s="6" t="s">
        <v>980</v>
      </c>
      <c r="C10" s="6" t="s">
        <v>981</v>
      </c>
      <c r="D10" s="6" t="s">
        <v>982</v>
      </c>
      <c r="E10" s="6" t="s">
        <v>983</v>
      </c>
      <c r="F10" s="6"/>
    </row>
    <row r="11" customFormat="false" ht="30" hidden="false" customHeight="true" outlineLevel="0" collapsed="false">
      <c r="A11" s="6" t="s">
        <v>984</v>
      </c>
      <c r="B11" s="6" t="s">
        <v>985</v>
      </c>
      <c r="C11" s="6" t="s">
        <v>986</v>
      </c>
      <c r="D11" s="6" t="s">
        <v>987</v>
      </c>
      <c r="E11" s="6" t="s">
        <v>988</v>
      </c>
      <c r="F11" s="6"/>
    </row>
    <row r="12" customFormat="false" ht="42.75" hidden="false" customHeight="true" outlineLevel="0" collapsed="false">
      <c r="A12" s="6" t="s">
        <v>989</v>
      </c>
      <c r="B12" s="6" t="s">
        <v>990</v>
      </c>
      <c r="C12" s="6" t="s">
        <v>991</v>
      </c>
      <c r="D12" s="6" t="s">
        <v>992</v>
      </c>
      <c r="E12" s="6" t="s">
        <v>993</v>
      </c>
      <c r="F12" s="6"/>
    </row>
    <row r="14" customFormat="false" ht="19.5" hidden="false" customHeight="true" outlineLevel="0" collapsed="false">
      <c r="A14" s="3" t="s">
        <v>994</v>
      </c>
      <c r="B14" s="4"/>
      <c r="C14" s="4"/>
      <c r="D14" s="4"/>
      <c r="E14" s="4"/>
      <c r="F14" s="4"/>
    </row>
    <row r="15" customFormat="false" ht="30" hidden="false" customHeight="true" outlineLevel="0" collapsed="false">
      <c r="A15" s="5" t="s">
        <v>995</v>
      </c>
      <c r="B15" s="5" t="s">
        <v>996</v>
      </c>
      <c r="C15" s="5" t="s">
        <v>997</v>
      </c>
      <c r="D15" s="5" t="s">
        <v>998</v>
      </c>
      <c r="E15" s="5" t="s">
        <v>999</v>
      </c>
      <c r="F15" s="5" t="s">
        <v>1000</v>
      </c>
    </row>
    <row r="16" customFormat="false" ht="40.5" hidden="false" customHeight="true" outlineLevel="0" collapsed="false">
      <c r="A16" s="6" t="s">
        <v>1001</v>
      </c>
      <c r="B16" s="6" t="s">
        <v>1002</v>
      </c>
      <c r="C16" s="7" t="s">
        <v>1003</v>
      </c>
      <c r="D16" s="6" t="s">
        <v>1004</v>
      </c>
      <c r="E16" s="6" t="s">
        <v>1005</v>
      </c>
      <c r="F16" s="6" t="s">
        <v>1006</v>
      </c>
    </row>
    <row r="17" customFormat="false" ht="40.5" hidden="false" customHeight="true" outlineLevel="0" collapsed="false">
      <c r="A17" s="6" t="s">
        <v>1007</v>
      </c>
      <c r="B17" s="6" t="s">
        <v>1008</v>
      </c>
      <c r="C17" s="7" t="s">
        <v>1003</v>
      </c>
      <c r="D17" s="6" t="s">
        <v>1009</v>
      </c>
      <c r="E17" s="6" t="s">
        <v>1010</v>
      </c>
      <c r="F17" s="6" t="s">
        <v>1011</v>
      </c>
    </row>
    <row r="18" customFormat="false" ht="40.5" hidden="false" customHeight="true" outlineLevel="0" collapsed="false">
      <c r="A18" s="6" t="s">
        <v>1012</v>
      </c>
      <c r="B18" s="6" t="s">
        <v>1013</v>
      </c>
      <c r="C18" s="7" t="s">
        <v>1003</v>
      </c>
      <c r="D18" s="6" t="s">
        <v>1014</v>
      </c>
      <c r="E18" s="6" t="s">
        <v>1015</v>
      </c>
      <c r="F18" s="6" t="s">
        <v>1016</v>
      </c>
    </row>
    <row r="19" customFormat="false" ht="40.5" hidden="false" customHeight="true" outlineLevel="0" collapsed="false">
      <c r="A19" s="6" t="s">
        <v>1017</v>
      </c>
      <c r="B19" s="6" t="s">
        <v>1018</v>
      </c>
      <c r="C19" s="7" t="s">
        <v>1003</v>
      </c>
      <c r="D19" s="6" t="s">
        <v>1019</v>
      </c>
      <c r="E19" s="6" t="s">
        <v>1020</v>
      </c>
      <c r="F19" s="6" t="s">
        <v>1021</v>
      </c>
    </row>
    <row r="20" customFormat="false" ht="40.5" hidden="false" customHeight="true" outlineLevel="0" collapsed="false">
      <c r="A20" s="6" t="s">
        <v>1022</v>
      </c>
      <c r="B20" s="6" t="s">
        <v>1023</v>
      </c>
      <c r="C20" s="7" t="s">
        <v>1024</v>
      </c>
      <c r="D20" s="6" t="s">
        <v>1025</v>
      </c>
      <c r="E20" s="6" t="s">
        <v>1026</v>
      </c>
      <c r="F20" s="6" t="s">
        <v>1027</v>
      </c>
    </row>
    <row r="21" customFormat="false" ht="54" hidden="false" customHeight="true" outlineLevel="0" collapsed="false">
      <c r="A21" s="6" t="s">
        <v>1028</v>
      </c>
      <c r="B21" s="6" t="s">
        <v>1029</v>
      </c>
      <c r="C21" s="7" t="s">
        <v>1024</v>
      </c>
      <c r="D21" s="6" t="s">
        <v>1030</v>
      </c>
      <c r="E21" s="6" t="s">
        <v>1031</v>
      </c>
      <c r="F21" s="6" t="s">
        <v>1032</v>
      </c>
    </row>
    <row r="22" customFormat="false" ht="40.5" hidden="false" customHeight="true" outlineLevel="0" collapsed="false">
      <c r="A22" s="6" t="s">
        <v>1033</v>
      </c>
      <c r="B22" s="6" t="s">
        <v>1034</v>
      </c>
      <c r="C22" s="7" t="s">
        <v>1024</v>
      </c>
      <c r="D22" s="6" t="s">
        <v>1035</v>
      </c>
      <c r="E22" s="6" t="s">
        <v>1036</v>
      </c>
      <c r="F22" s="6" t="s">
        <v>1037</v>
      </c>
    </row>
    <row r="23" customFormat="false" ht="40.5" hidden="false" customHeight="true" outlineLevel="0" collapsed="false">
      <c r="A23" s="6" t="s">
        <v>1038</v>
      </c>
      <c r="B23" s="6" t="s">
        <v>1039</v>
      </c>
      <c r="C23" s="7" t="s">
        <v>1024</v>
      </c>
      <c r="D23" s="6" t="s">
        <v>1040</v>
      </c>
      <c r="E23" s="6" t="s">
        <v>1041</v>
      </c>
      <c r="F23" s="6" t="s">
        <v>1042</v>
      </c>
    </row>
    <row r="25" customFormat="false" ht="19.5" hidden="false" customHeight="true" outlineLevel="0" collapsed="false">
      <c r="A25" s="3" t="s">
        <v>1043</v>
      </c>
      <c r="B25" s="4"/>
      <c r="C25" s="4"/>
      <c r="D25" s="4"/>
      <c r="E25" s="4"/>
      <c r="F25" s="4"/>
    </row>
    <row r="26" customFormat="false" ht="30" hidden="false" customHeight="true" outlineLevel="0" collapsed="false">
      <c r="A26" s="5" t="s">
        <v>1044</v>
      </c>
      <c r="B26" s="5" t="s">
        <v>1045</v>
      </c>
      <c r="C26" s="5" t="s">
        <v>1046</v>
      </c>
      <c r="D26" s="5" t="s">
        <v>1047</v>
      </c>
      <c r="E26" s="5" t="s">
        <v>1048</v>
      </c>
      <c r="F26" s="5"/>
    </row>
    <row r="27" customFormat="false" ht="42.75" hidden="false" customHeight="true" outlineLevel="0" collapsed="false">
      <c r="A27" s="6" t="s">
        <v>1049</v>
      </c>
      <c r="B27" s="6" t="s">
        <v>1050</v>
      </c>
      <c r="C27" s="6" t="s">
        <v>1051</v>
      </c>
      <c r="D27" s="6" t="s">
        <v>1052</v>
      </c>
      <c r="E27" s="6" t="s">
        <v>1053</v>
      </c>
      <c r="F27" s="6"/>
    </row>
    <row r="28" customFormat="false" ht="42.75" hidden="false" customHeight="true" outlineLevel="0" collapsed="false">
      <c r="A28" s="6" t="s">
        <v>1054</v>
      </c>
      <c r="B28" s="6" t="s">
        <v>1055</v>
      </c>
      <c r="C28" s="6" t="s">
        <v>1056</v>
      </c>
      <c r="D28" s="6" t="s">
        <v>1057</v>
      </c>
      <c r="E28" s="6" t="s">
        <v>1058</v>
      </c>
      <c r="F28" s="6"/>
    </row>
    <row r="29" customFormat="false" ht="42.75" hidden="false" customHeight="true" outlineLevel="0" collapsed="false">
      <c r="A29" s="6" t="s">
        <v>1059</v>
      </c>
      <c r="B29" s="6" t="s">
        <v>1060</v>
      </c>
      <c r="C29" s="6" t="s">
        <v>1061</v>
      </c>
      <c r="D29" s="6" t="s">
        <v>1062</v>
      </c>
      <c r="E29" s="6" t="s">
        <v>1063</v>
      </c>
      <c r="F29" s="6"/>
    </row>
    <row r="30" customFormat="false" ht="42.75" hidden="false" customHeight="true" outlineLevel="0" collapsed="false">
      <c r="A30" s="6" t="s">
        <v>1064</v>
      </c>
      <c r="B30" s="6" t="s">
        <v>1065</v>
      </c>
      <c r="C30" s="6" t="s">
        <v>1066</v>
      </c>
      <c r="D30" s="6" t="s">
        <v>1067</v>
      </c>
      <c r="E30" s="6" t="s">
        <v>1068</v>
      </c>
      <c r="F30" s="6"/>
    </row>
    <row r="31" customFormat="false" ht="30" hidden="false" customHeight="true" outlineLevel="0" collapsed="false">
      <c r="A31" s="6" t="s">
        <v>1069</v>
      </c>
      <c r="B31" s="6" t="s">
        <v>1070</v>
      </c>
      <c r="C31" s="6" t="s">
        <v>1071</v>
      </c>
      <c r="D31" s="6" t="s">
        <v>1072</v>
      </c>
      <c r="E31" s="6" t="s">
        <v>1073</v>
      </c>
      <c r="F31" s="6"/>
    </row>
    <row r="32" customFormat="false" ht="42.75" hidden="false" customHeight="true" outlineLevel="0" collapsed="false">
      <c r="A32" s="6" t="s">
        <v>1074</v>
      </c>
      <c r="B32" s="6" t="s">
        <v>1075</v>
      </c>
      <c r="C32" s="6" t="s">
        <v>1076</v>
      </c>
      <c r="D32" s="6" t="s">
        <v>1077</v>
      </c>
      <c r="E32" s="6" t="s">
        <v>1078</v>
      </c>
      <c r="F32" s="6"/>
    </row>
    <row r="33" customFormat="false" ht="42.75" hidden="false" customHeight="true" outlineLevel="0" collapsed="false">
      <c r="A33" s="6" t="s">
        <v>1079</v>
      </c>
      <c r="B33" s="6" t="s">
        <v>1080</v>
      </c>
      <c r="C33" s="6" t="s">
        <v>1081</v>
      </c>
      <c r="D33" s="6" t="s">
        <v>619</v>
      </c>
      <c r="E33" s="6" t="s">
        <v>1082</v>
      </c>
      <c r="F33" s="6"/>
    </row>
    <row r="34" customFormat="false" ht="30" hidden="false" customHeight="true" outlineLevel="0" collapsed="false">
      <c r="A34" s="6" t="s">
        <v>1083</v>
      </c>
      <c r="B34" s="6" t="s">
        <v>1084</v>
      </c>
      <c r="C34" s="6" t="s">
        <v>1085</v>
      </c>
      <c r="D34" s="6" t="s">
        <v>1086</v>
      </c>
      <c r="E34" s="6" t="s">
        <v>1087</v>
      </c>
      <c r="F34" s="6"/>
    </row>
    <row r="36" customFormat="false" ht="19.5" hidden="false" customHeight="true" outlineLevel="0" collapsed="false">
      <c r="A36" s="3" t="s">
        <v>1088</v>
      </c>
      <c r="B36" s="4"/>
      <c r="C36" s="4"/>
      <c r="D36" s="4"/>
      <c r="E36" s="4"/>
      <c r="F36" s="4"/>
    </row>
    <row r="37" customFormat="false" ht="30" hidden="false" customHeight="true" outlineLevel="0" collapsed="false">
      <c r="A37" s="5" t="s">
        <v>1089</v>
      </c>
      <c r="B37" s="5" t="s">
        <v>1090</v>
      </c>
      <c r="C37" s="5"/>
      <c r="D37" s="5"/>
      <c r="E37" s="5"/>
      <c r="F37" s="5"/>
    </row>
    <row r="38" customFormat="false" ht="30" hidden="false" customHeight="true" outlineLevel="0" collapsed="false">
      <c r="A38" s="6" t="s">
        <v>1091</v>
      </c>
      <c r="B38" s="6" t="s">
        <v>1092</v>
      </c>
      <c r="C38" s="6"/>
      <c r="D38" s="6"/>
      <c r="E38" s="6"/>
      <c r="F38" s="6"/>
    </row>
    <row r="39" customFormat="false" ht="30" hidden="false" customHeight="true" outlineLevel="0" collapsed="false">
      <c r="A39" s="6" t="s">
        <v>1093</v>
      </c>
      <c r="B39" s="6" t="s">
        <v>1094</v>
      </c>
      <c r="C39" s="6"/>
      <c r="D39" s="6"/>
      <c r="E39" s="6"/>
      <c r="F39" s="6"/>
    </row>
    <row r="40" customFormat="false" ht="16.5" hidden="false" customHeight="true" outlineLevel="0" collapsed="false">
      <c r="A40" s="6" t="s">
        <v>1095</v>
      </c>
      <c r="B40" s="6" t="s">
        <v>1096</v>
      </c>
      <c r="C40" s="6"/>
      <c r="D40" s="6"/>
      <c r="E40" s="6"/>
      <c r="F40" s="6"/>
    </row>
    <row r="41" customFormat="false" ht="16.5" hidden="false" customHeight="true" outlineLevel="0" collapsed="false">
      <c r="A41" s="6" t="s">
        <v>1097</v>
      </c>
      <c r="B41" s="6" t="s">
        <v>1098</v>
      </c>
      <c r="C41" s="6"/>
      <c r="D41" s="6"/>
      <c r="E41" s="6"/>
      <c r="F41" s="6"/>
    </row>
    <row r="42" customFormat="false" ht="16.5" hidden="false" customHeight="true" outlineLevel="0" collapsed="false">
      <c r="A42" s="6" t="s">
        <v>1099</v>
      </c>
      <c r="B42" s="6" t="s">
        <v>1100</v>
      </c>
      <c r="C42" s="6"/>
      <c r="D42" s="6"/>
      <c r="E42" s="6"/>
      <c r="F42" s="6"/>
    </row>
    <row r="44" customFormat="false" ht="19.5" hidden="false" customHeight="true" outlineLevel="0" collapsed="false">
      <c r="A44" s="3" t="s">
        <v>1101</v>
      </c>
      <c r="B44" s="4"/>
      <c r="C44" s="4"/>
      <c r="D44" s="4"/>
      <c r="E44" s="4"/>
      <c r="F44" s="4"/>
    </row>
    <row r="45" customFormat="false" ht="30" hidden="false" customHeight="true" outlineLevel="0" collapsed="false">
      <c r="A45" s="5" t="s">
        <v>1102</v>
      </c>
      <c r="B45" s="5" t="s">
        <v>1103</v>
      </c>
      <c r="C45" s="5" t="s">
        <v>1104</v>
      </c>
      <c r="D45" s="5"/>
      <c r="E45" s="5"/>
      <c r="F45" s="5"/>
    </row>
    <row r="46" customFormat="false" ht="55.5" hidden="false" customHeight="true" outlineLevel="0" collapsed="false">
      <c r="A46" s="6" t="s">
        <v>1105</v>
      </c>
      <c r="B46" s="6" t="s">
        <v>1106</v>
      </c>
      <c r="C46" s="6" t="s">
        <v>1107</v>
      </c>
      <c r="D46" s="6"/>
      <c r="E46" s="6"/>
      <c r="F46" s="6"/>
    </row>
    <row r="47" customFormat="false" ht="42.75" hidden="false" customHeight="true" outlineLevel="0" collapsed="false">
      <c r="A47" s="6" t="s">
        <v>1108</v>
      </c>
      <c r="B47" s="6" t="s">
        <v>1109</v>
      </c>
      <c r="C47" s="6" t="s">
        <v>1110</v>
      </c>
      <c r="D47" s="6"/>
      <c r="E47" s="6"/>
      <c r="F47" s="6"/>
    </row>
    <row r="48" customFormat="false" ht="42.75" hidden="false" customHeight="true" outlineLevel="0" collapsed="false">
      <c r="A48" s="6" t="s">
        <v>1111</v>
      </c>
      <c r="B48" s="6" t="s">
        <v>1112</v>
      </c>
      <c r="C48" s="6" t="s">
        <v>1113</v>
      </c>
      <c r="D48" s="6"/>
      <c r="E48" s="6"/>
      <c r="F48" s="6"/>
    </row>
    <row r="49" customFormat="false" ht="42.75" hidden="false" customHeight="true" outlineLevel="0" collapsed="false">
      <c r="A49" s="6" t="s">
        <v>1114</v>
      </c>
      <c r="B49" s="6" t="s">
        <v>1115</v>
      </c>
      <c r="C49" s="6" t="s">
        <v>1116</v>
      </c>
      <c r="D49" s="6"/>
      <c r="E49" s="6"/>
      <c r="F49" s="6"/>
    </row>
    <row r="50" customFormat="false" ht="42.75" hidden="false" customHeight="true" outlineLevel="0" collapsed="false">
      <c r="A50" s="6" t="s">
        <v>1117</v>
      </c>
      <c r="B50" s="6" t="s">
        <v>1118</v>
      </c>
      <c r="C50" s="6" t="s">
        <v>1119</v>
      </c>
      <c r="D50" s="6"/>
      <c r="E50" s="6"/>
      <c r="F50" s="6"/>
    </row>
    <row r="52" customFormat="false" ht="19.5" hidden="false" customHeight="true" outlineLevel="0" collapsed="false">
      <c r="A52" s="3" t="s">
        <v>1120</v>
      </c>
      <c r="B52" s="4"/>
      <c r="C52" s="4"/>
      <c r="D52" s="4"/>
      <c r="E52" s="4"/>
      <c r="F52" s="4"/>
    </row>
    <row r="53" customFormat="false" ht="30" hidden="false" customHeight="true" outlineLevel="0" collapsed="false">
      <c r="A53" s="5" t="s">
        <v>1121</v>
      </c>
      <c r="B53" s="5" t="s">
        <v>1122</v>
      </c>
      <c r="C53" s="5" t="s">
        <v>1123</v>
      </c>
      <c r="D53" s="5"/>
      <c r="E53" s="5"/>
      <c r="F53" s="5"/>
    </row>
    <row r="54" customFormat="false" ht="30" hidden="false" customHeight="true" outlineLevel="0" collapsed="false">
      <c r="A54" s="6" t="s">
        <v>1124</v>
      </c>
      <c r="B54" s="6" t="s">
        <v>1125</v>
      </c>
      <c r="C54" s="6" t="s">
        <v>1126</v>
      </c>
      <c r="D54" s="6"/>
      <c r="E54" s="6"/>
      <c r="F54" s="6"/>
    </row>
    <row r="55" customFormat="false" ht="30" hidden="false" customHeight="true" outlineLevel="0" collapsed="false">
      <c r="A55" s="6" t="s">
        <v>1127</v>
      </c>
      <c r="B55" s="6" t="s">
        <v>1128</v>
      </c>
      <c r="C55" s="6" t="s">
        <v>1129</v>
      </c>
      <c r="D55" s="6"/>
      <c r="E55" s="6"/>
      <c r="F55" s="6"/>
    </row>
    <row r="56" customFormat="false" ht="30" hidden="false" customHeight="true" outlineLevel="0" collapsed="false">
      <c r="A56" s="6" t="s">
        <v>1130</v>
      </c>
      <c r="B56" s="6" t="s">
        <v>1131</v>
      </c>
      <c r="C56" s="6" t="s">
        <v>1132</v>
      </c>
      <c r="D56" s="6"/>
      <c r="E56" s="6"/>
      <c r="F56" s="6"/>
    </row>
    <row r="57" customFormat="false" ht="30" hidden="false" customHeight="true" outlineLevel="0" collapsed="false">
      <c r="A57" s="6" t="s">
        <v>1133</v>
      </c>
      <c r="B57" s="6" t="s">
        <v>1134</v>
      </c>
      <c r="C57" s="6" t="s">
        <v>1135</v>
      </c>
      <c r="D57" s="6"/>
      <c r="E57" s="6"/>
      <c r="F57" s="6"/>
    </row>
    <row r="58" customFormat="false" ht="30" hidden="false" customHeight="true" outlineLevel="0" collapsed="false">
      <c r="A58" s="6" t="s">
        <v>1136</v>
      </c>
      <c r="B58" s="6" t="s">
        <v>1137</v>
      </c>
      <c r="C58" s="6" t="s">
        <v>1138</v>
      </c>
      <c r="D58" s="6"/>
      <c r="E58" s="6"/>
      <c r="F58" s="6"/>
    </row>
  </sheetData>
  <mergeCells count="36">
    <mergeCell ref="A2:F2"/>
    <mergeCell ref="E5:F5"/>
    <mergeCell ref="E6:F6"/>
    <mergeCell ref="E7:F7"/>
    <mergeCell ref="E8:F8"/>
    <mergeCell ref="E9:F9"/>
    <mergeCell ref="E10:F10"/>
    <mergeCell ref="E11:F11"/>
    <mergeCell ref="E12:F12"/>
    <mergeCell ref="E26:F26"/>
    <mergeCell ref="E27:F27"/>
    <mergeCell ref="E28:F28"/>
    <mergeCell ref="E29:F29"/>
    <mergeCell ref="E30:F30"/>
    <mergeCell ref="E31:F31"/>
    <mergeCell ref="E32:F32"/>
    <mergeCell ref="E33:F33"/>
    <mergeCell ref="E34:F34"/>
    <mergeCell ref="B37:F37"/>
    <mergeCell ref="B38:F38"/>
    <mergeCell ref="B39:F39"/>
    <mergeCell ref="B40:F40"/>
    <mergeCell ref="B41:F41"/>
    <mergeCell ref="B42:F42"/>
    <mergeCell ref="C45:F45"/>
    <mergeCell ref="C46:F46"/>
    <mergeCell ref="C47:F47"/>
    <mergeCell ref="C48:F48"/>
    <mergeCell ref="C49:F49"/>
    <mergeCell ref="C50:F50"/>
    <mergeCell ref="C53:F53"/>
    <mergeCell ref="C54:F54"/>
    <mergeCell ref="C55:F55"/>
    <mergeCell ref="C56:F56"/>
    <mergeCell ref="C57:F57"/>
    <mergeCell ref="C58:F5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5" min="3" style="0" width="30"/>
    <col collapsed="false" customWidth="true" hidden="false" outlineLevel="0" max="6" min="6" style="0" width="34"/>
  </cols>
  <sheetData>
    <row r="1" customFormat="false" ht="24" hidden="false" customHeight="true" outlineLevel="0" collapsed="false">
      <c r="A1" s="1" t="s">
        <v>1139</v>
      </c>
    </row>
    <row r="2" customFormat="false" ht="30" hidden="false" customHeight="true" outlineLevel="0" collapsed="false">
      <c r="A2" s="2" t="s">
        <v>1140</v>
      </c>
      <c r="B2" s="2"/>
      <c r="C2" s="2"/>
      <c r="D2" s="2"/>
      <c r="E2" s="2"/>
      <c r="F2" s="2"/>
    </row>
    <row r="4" customFormat="false" ht="19.5" hidden="false" customHeight="true" outlineLevel="0" collapsed="false">
      <c r="A4" s="3" t="s">
        <v>1141</v>
      </c>
      <c r="B4" s="4"/>
      <c r="C4" s="4"/>
      <c r="D4" s="4"/>
      <c r="E4" s="4"/>
      <c r="F4" s="4"/>
    </row>
    <row r="5" customFormat="false" ht="30" hidden="false" customHeight="true" outlineLevel="0" collapsed="false">
      <c r="A5" s="5" t="s">
        <v>1142</v>
      </c>
      <c r="B5" s="5" t="s">
        <v>1143</v>
      </c>
      <c r="C5" s="5" t="s">
        <v>1144</v>
      </c>
      <c r="D5" s="5" t="s">
        <v>1145</v>
      </c>
      <c r="E5" s="5" t="s">
        <v>122</v>
      </c>
      <c r="F5" s="5" t="s">
        <v>1146</v>
      </c>
    </row>
    <row r="6" customFormat="false" ht="40.5" hidden="false" customHeight="true" outlineLevel="0" collapsed="false">
      <c r="A6" s="6" t="s">
        <v>1147</v>
      </c>
      <c r="B6" s="6" t="s">
        <v>1148</v>
      </c>
      <c r="C6" s="6" t="s">
        <v>1149</v>
      </c>
      <c r="D6" s="6" t="s">
        <v>1150</v>
      </c>
      <c r="E6" s="6" t="s">
        <v>1151</v>
      </c>
      <c r="F6" s="6" t="s">
        <v>1152</v>
      </c>
    </row>
    <row r="7" customFormat="false" ht="27.75" hidden="false" customHeight="true" outlineLevel="0" collapsed="false">
      <c r="A7" s="6" t="s">
        <v>1153</v>
      </c>
      <c r="B7" s="6" t="s">
        <v>1154</v>
      </c>
      <c r="C7" s="6" t="s">
        <v>1155</v>
      </c>
      <c r="D7" s="6" t="s">
        <v>1156</v>
      </c>
      <c r="E7" s="6" t="s">
        <v>1157</v>
      </c>
      <c r="F7" s="6" t="s">
        <v>1158</v>
      </c>
    </row>
    <row r="8" customFormat="false" ht="40.5" hidden="false" customHeight="true" outlineLevel="0" collapsed="false">
      <c r="A8" s="6" t="s">
        <v>1159</v>
      </c>
      <c r="B8" s="6" t="s">
        <v>1067</v>
      </c>
      <c r="C8" s="6" t="s">
        <v>1160</v>
      </c>
      <c r="D8" s="6" t="s">
        <v>1161</v>
      </c>
      <c r="E8" s="6" t="s">
        <v>1162</v>
      </c>
      <c r="F8" s="6" t="s">
        <v>1163</v>
      </c>
    </row>
    <row r="9" customFormat="false" ht="54" hidden="false" customHeight="true" outlineLevel="0" collapsed="false">
      <c r="A9" s="6" t="s">
        <v>1164</v>
      </c>
      <c r="B9" s="6" t="s">
        <v>1165</v>
      </c>
      <c r="C9" s="6" t="s">
        <v>1166</v>
      </c>
      <c r="D9" s="6" t="s">
        <v>1167</v>
      </c>
      <c r="E9" s="6" t="s">
        <v>1168</v>
      </c>
      <c r="F9" s="6" t="s">
        <v>1169</v>
      </c>
    </row>
    <row r="10" customFormat="false" ht="54" hidden="false" customHeight="true" outlineLevel="0" collapsed="false">
      <c r="A10" s="6" t="s">
        <v>1170</v>
      </c>
      <c r="B10" s="6" t="s">
        <v>1171</v>
      </c>
      <c r="C10" s="6" t="s">
        <v>1172</v>
      </c>
      <c r="D10" s="6" t="s">
        <v>1173</v>
      </c>
      <c r="E10" s="6" t="s">
        <v>1174</v>
      </c>
      <c r="F10" s="6" t="s">
        <v>1175</v>
      </c>
    </row>
    <row r="11" customFormat="false" ht="40.5" hidden="false" customHeight="true" outlineLevel="0" collapsed="false">
      <c r="A11" s="6" t="s">
        <v>1176</v>
      </c>
      <c r="B11" s="6" t="s">
        <v>1177</v>
      </c>
      <c r="C11" s="6" t="s">
        <v>1178</v>
      </c>
      <c r="D11" s="6" t="s">
        <v>1179</v>
      </c>
      <c r="E11" s="6" t="s">
        <v>1180</v>
      </c>
      <c r="F11" s="6" t="s">
        <v>1181</v>
      </c>
    </row>
    <row r="12" customFormat="false" ht="40.5" hidden="false" customHeight="true" outlineLevel="0" collapsed="false">
      <c r="A12" s="6" t="s">
        <v>1182</v>
      </c>
      <c r="B12" s="6" t="s">
        <v>1183</v>
      </c>
      <c r="C12" s="6" t="s">
        <v>1184</v>
      </c>
      <c r="D12" s="6" t="s">
        <v>1185</v>
      </c>
      <c r="E12" s="6" t="s">
        <v>1186</v>
      </c>
      <c r="F12" s="6" t="s">
        <v>1187</v>
      </c>
    </row>
    <row r="13" customFormat="false" ht="40.5" hidden="false" customHeight="true" outlineLevel="0" collapsed="false">
      <c r="A13" s="6" t="s">
        <v>1188</v>
      </c>
      <c r="B13" s="6" t="s">
        <v>1189</v>
      </c>
      <c r="C13" s="6" t="s">
        <v>1190</v>
      </c>
      <c r="D13" s="6" t="s">
        <v>1191</v>
      </c>
      <c r="E13" s="6" t="s">
        <v>1192</v>
      </c>
      <c r="F13" s="6" t="s">
        <v>1193</v>
      </c>
    </row>
    <row r="15" customFormat="false" ht="19.5" hidden="false" customHeight="true" outlineLevel="0" collapsed="false">
      <c r="A15" s="3" t="s">
        <v>1194</v>
      </c>
      <c r="B15" s="4"/>
      <c r="C15" s="4"/>
      <c r="D15" s="4"/>
      <c r="E15" s="4"/>
      <c r="F15" s="4"/>
    </row>
    <row r="16" customFormat="false" ht="30" hidden="false" customHeight="true" outlineLevel="0" collapsed="false">
      <c r="A16" s="5" t="s">
        <v>1195</v>
      </c>
      <c r="B16" s="5" t="s">
        <v>1196</v>
      </c>
      <c r="C16" s="5" t="s">
        <v>1197</v>
      </c>
      <c r="D16" s="5" t="s">
        <v>1198</v>
      </c>
      <c r="E16" s="5"/>
      <c r="F16" s="5"/>
    </row>
    <row r="17" customFormat="false" ht="69" hidden="false" customHeight="true" outlineLevel="0" collapsed="false">
      <c r="A17" s="6" t="s">
        <v>1199</v>
      </c>
      <c r="B17" s="6" t="s">
        <v>1200</v>
      </c>
      <c r="C17" s="6" t="s">
        <v>1201</v>
      </c>
      <c r="D17" s="6" t="s">
        <v>1202</v>
      </c>
      <c r="E17" s="6"/>
      <c r="F17" s="6"/>
    </row>
    <row r="18" customFormat="false" ht="42.75" hidden="false" customHeight="true" outlineLevel="0" collapsed="false">
      <c r="A18" s="6" t="s">
        <v>1203</v>
      </c>
      <c r="B18" s="6" t="s">
        <v>1204</v>
      </c>
      <c r="C18" s="6" t="s">
        <v>1205</v>
      </c>
      <c r="D18" s="6" t="s">
        <v>1206</v>
      </c>
      <c r="E18" s="6"/>
      <c r="F18" s="6"/>
    </row>
    <row r="19" customFormat="false" ht="30" hidden="false" customHeight="true" outlineLevel="0" collapsed="false">
      <c r="A19" s="6" t="s">
        <v>1207</v>
      </c>
      <c r="B19" s="6" t="s">
        <v>1208</v>
      </c>
      <c r="C19" s="6" t="s">
        <v>1209</v>
      </c>
      <c r="D19" s="6" t="s">
        <v>1210</v>
      </c>
      <c r="E19" s="6"/>
      <c r="F19" s="6"/>
    </row>
    <row r="20" customFormat="false" ht="55.5" hidden="false" customHeight="true" outlineLevel="0" collapsed="false">
      <c r="A20" s="6" t="s">
        <v>1211</v>
      </c>
      <c r="B20" s="6" t="s">
        <v>1212</v>
      </c>
      <c r="C20" s="6" t="s">
        <v>1213</v>
      </c>
      <c r="D20" s="6" t="s">
        <v>1214</v>
      </c>
      <c r="E20" s="6"/>
      <c r="F20" s="6"/>
    </row>
    <row r="21" customFormat="false" ht="30" hidden="false" customHeight="true" outlineLevel="0" collapsed="false">
      <c r="A21" s="6" t="s">
        <v>1215</v>
      </c>
      <c r="B21" s="6" t="s">
        <v>1216</v>
      </c>
      <c r="C21" s="6" t="s">
        <v>1217</v>
      </c>
      <c r="D21" s="6" t="s">
        <v>1218</v>
      </c>
      <c r="E21" s="6"/>
      <c r="F21" s="6"/>
    </row>
    <row r="22" customFormat="false" ht="30" hidden="false" customHeight="true" outlineLevel="0" collapsed="false">
      <c r="A22" s="6" t="s">
        <v>1219</v>
      </c>
      <c r="B22" s="6" t="s">
        <v>1220</v>
      </c>
      <c r="C22" s="6" t="s">
        <v>1221</v>
      </c>
      <c r="D22" s="6" t="s">
        <v>1222</v>
      </c>
      <c r="E22" s="6"/>
      <c r="F22" s="6"/>
    </row>
    <row r="23" customFormat="false" ht="30" hidden="false" customHeight="true" outlineLevel="0" collapsed="false">
      <c r="A23" s="6" t="s">
        <v>1223</v>
      </c>
      <c r="B23" s="6" t="s">
        <v>1224</v>
      </c>
      <c r="C23" s="6" t="s">
        <v>1225</v>
      </c>
      <c r="D23" s="6" t="s">
        <v>1226</v>
      </c>
      <c r="E23" s="6"/>
      <c r="F23" s="6"/>
    </row>
    <row r="25" customFormat="false" ht="19.5" hidden="false" customHeight="true" outlineLevel="0" collapsed="false">
      <c r="A25" s="3" t="s">
        <v>1227</v>
      </c>
      <c r="B25" s="4"/>
      <c r="C25" s="4"/>
      <c r="D25" s="4"/>
      <c r="E25" s="4"/>
      <c r="F25" s="4"/>
    </row>
    <row r="26" customFormat="false" ht="30" hidden="false" customHeight="true" outlineLevel="0" collapsed="false">
      <c r="A26" s="5" t="s">
        <v>1228</v>
      </c>
      <c r="B26" s="5" t="s">
        <v>1229</v>
      </c>
      <c r="C26" s="5" t="s">
        <v>1230</v>
      </c>
      <c r="D26" s="5" t="s">
        <v>1231</v>
      </c>
      <c r="E26" s="5" t="s">
        <v>1232</v>
      </c>
      <c r="F26" s="5" t="s">
        <v>1233</v>
      </c>
    </row>
    <row r="27" customFormat="false" ht="40.5" hidden="false" customHeight="true" outlineLevel="0" collapsed="false">
      <c r="A27" s="6" t="s">
        <v>1234</v>
      </c>
      <c r="B27" s="6" t="s">
        <v>1235</v>
      </c>
      <c r="C27" s="6" t="s">
        <v>1236</v>
      </c>
      <c r="D27" s="6" t="s">
        <v>1237</v>
      </c>
      <c r="E27" s="6" t="s">
        <v>1238</v>
      </c>
      <c r="F27" s="6" t="s">
        <v>1239</v>
      </c>
    </row>
    <row r="28" customFormat="false" ht="54" hidden="false" customHeight="true" outlineLevel="0" collapsed="false">
      <c r="A28" s="6" t="s">
        <v>1240</v>
      </c>
      <c r="B28" s="6" t="s">
        <v>1241</v>
      </c>
      <c r="C28" s="6" t="s">
        <v>1242</v>
      </c>
      <c r="D28" s="6" t="s">
        <v>1243</v>
      </c>
      <c r="E28" s="6" t="s">
        <v>1244</v>
      </c>
      <c r="F28" s="6" t="s">
        <v>1245</v>
      </c>
    </row>
    <row r="29" customFormat="false" ht="66.75" hidden="false" customHeight="true" outlineLevel="0" collapsed="false">
      <c r="A29" s="6" t="s">
        <v>1246</v>
      </c>
      <c r="B29" s="6" t="s">
        <v>1247</v>
      </c>
      <c r="C29" s="6" t="s">
        <v>1248</v>
      </c>
      <c r="D29" s="6" t="s">
        <v>1249</v>
      </c>
      <c r="E29" s="6" t="s">
        <v>1250</v>
      </c>
      <c r="F29" s="6" t="s">
        <v>1251</v>
      </c>
    </row>
    <row r="30" customFormat="false" ht="66.75" hidden="false" customHeight="true" outlineLevel="0" collapsed="false">
      <c r="A30" s="6" t="s">
        <v>1252</v>
      </c>
      <c r="B30" s="6" t="s">
        <v>1253</v>
      </c>
      <c r="C30" s="6" t="s">
        <v>1254</v>
      </c>
      <c r="D30" s="6" t="s">
        <v>1255</v>
      </c>
      <c r="E30" s="6" t="s">
        <v>1256</v>
      </c>
      <c r="F30" s="6" t="s">
        <v>1257</v>
      </c>
    </row>
    <row r="32" customFormat="false" ht="19.5" hidden="false" customHeight="true" outlineLevel="0" collapsed="false">
      <c r="A32" s="3" t="s">
        <v>1258</v>
      </c>
      <c r="B32" s="4"/>
      <c r="C32" s="4"/>
      <c r="D32" s="4"/>
      <c r="E32" s="4"/>
      <c r="F32" s="4"/>
    </row>
    <row r="33" customFormat="false" ht="30" hidden="false" customHeight="true" outlineLevel="0" collapsed="false">
      <c r="A33" s="5" t="s">
        <v>1259</v>
      </c>
      <c r="B33" s="5" t="s">
        <v>1260</v>
      </c>
      <c r="C33" s="5" t="s">
        <v>1261</v>
      </c>
      <c r="D33" s="5" t="s">
        <v>1262</v>
      </c>
      <c r="E33" s="5" t="s">
        <v>1263</v>
      </c>
      <c r="F33" s="5" t="s">
        <v>1264</v>
      </c>
    </row>
    <row r="34" customFormat="false" ht="15" hidden="false" customHeight="true" outlineLevel="0" collapsed="false">
      <c r="A34" s="6" t="s">
        <v>1265</v>
      </c>
      <c r="B34" s="7" t="s">
        <v>1266</v>
      </c>
      <c r="C34" s="7" t="s">
        <v>1267</v>
      </c>
      <c r="D34" s="7" t="s">
        <v>1267</v>
      </c>
      <c r="E34" s="7" t="s">
        <v>1267</v>
      </c>
      <c r="F34" s="7" t="s">
        <v>1268</v>
      </c>
    </row>
    <row r="35" customFormat="false" ht="15" hidden="false" customHeight="true" outlineLevel="0" collapsed="false">
      <c r="A35" s="6" t="s">
        <v>1269</v>
      </c>
      <c r="B35" s="7" t="s">
        <v>1003</v>
      </c>
      <c r="C35" s="7" t="s">
        <v>1270</v>
      </c>
      <c r="D35" s="7" t="s">
        <v>1267</v>
      </c>
      <c r="E35" s="7" t="s">
        <v>1268</v>
      </c>
      <c r="F35" s="7" t="s">
        <v>1268</v>
      </c>
    </row>
    <row r="36" customFormat="false" ht="15" hidden="false" customHeight="true" outlineLevel="0" collapsed="false">
      <c r="A36" s="6" t="s">
        <v>1271</v>
      </c>
      <c r="B36" s="7" t="s">
        <v>1267</v>
      </c>
      <c r="C36" s="7" t="s">
        <v>1267</v>
      </c>
      <c r="D36" s="7" t="s">
        <v>1266</v>
      </c>
      <c r="E36" s="7" t="s">
        <v>1268</v>
      </c>
      <c r="F36" s="7" t="s">
        <v>1268</v>
      </c>
    </row>
    <row r="37" customFormat="false" ht="15" hidden="false" customHeight="true" outlineLevel="0" collapsed="false">
      <c r="A37" s="6" t="s">
        <v>1272</v>
      </c>
      <c r="B37" s="7" t="s">
        <v>1270</v>
      </c>
      <c r="C37" s="7" t="s">
        <v>1267</v>
      </c>
      <c r="D37" s="7" t="s">
        <v>1003</v>
      </c>
      <c r="E37" s="7" t="s">
        <v>1268</v>
      </c>
      <c r="F37" s="7" t="s">
        <v>1268</v>
      </c>
    </row>
    <row r="38" customFormat="false" ht="15" hidden="false" customHeight="true" outlineLevel="0" collapsed="false">
      <c r="A38" s="6" t="s">
        <v>1273</v>
      </c>
      <c r="B38" s="7" t="s">
        <v>1267</v>
      </c>
      <c r="C38" s="7" t="s">
        <v>1266</v>
      </c>
      <c r="D38" s="7" t="s">
        <v>1267</v>
      </c>
      <c r="E38" s="7" t="s">
        <v>1268</v>
      </c>
      <c r="F38" s="7" t="s">
        <v>1268</v>
      </c>
    </row>
    <row r="39" customFormat="false" ht="27.75" hidden="false" customHeight="true" outlineLevel="0" collapsed="false">
      <c r="A39" s="6" t="s">
        <v>1274</v>
      </c>
      <c r="B39" s="7" t="s">
        <v>1003</v>
      </c>
      <c r="C39" s="7" t="s">
        <v>1267</v>
      </c>
      <c r="D39" s="7" t="s">
        <v>1267</v>
      </c>
      <c r="E39" s="7" t="s">
        <v>1270</v>
      </c>
      <c r="F39" s="7" t="s">
        <v>1268</v>
      </c>
    </row>
    <row r="40" customFormat="false" ht="15" hidden="false" customHeight="true" outlineLevel="0" collapsed="false">
      <c r="A40" s="6" t="s">
        <v>1275</v>
      </c>
      <c r="B40" s="7" t="s">
        <v>1270</v>
      </c>
      <c r="C40" s="7" t="s">
        <v>1267</v>
      </c>
      <c r="D40" s="7" t="s">
        <v>1268</v>
      </c>
      <c r="E40" s="7" t="s">
        <v>1267</v>
      </c>
      <c r="F40" s="7" t="s">
        <v>1267</v>
      </c>
    </row>
    <row r="41" customFormat="false" ht="15" hidden="false" customHeight="true" outlineLevel="0" collapsed="false">
      <c r="A41" s="6" t="s">
        <v>1276</v>
      </c>
      <c r="B41" s="7" t="s">
        <v>1003</v>
      </c>
      <c r="C41" s="7" t="s">
        <v>1268</v>
      </c>
      <c r="D41" s="7" t="s">
        <v>1268</v>
      </c>
      <c r="E41" s="7" t="s">
        <v>1268</v>
      </c>
      <c r="F41" s="7" t="s">
        <v>1270</v>
      </c>
    </row>
    <row r="42" customFormat="false" ht="15" hidden="false" customHeight="true" outlineLevel="0" collapsed="false">
      <c r="A42" s="6" t="s">
        <v>1277</v>
      </c>
      <c r="B42" s="7" t="s">
        <v>1270</v>
      </c>
      <c r="C42" s="7" t="s">
        <v>1267</v>
      </c>
      <c r="D42" s="7" t="s">
        <v>1003</v>
      </c>
      <c r="E42" s="7" t="s">
        <v>1267</v>
      </c>
      <c r="F42" s="7" t="s">
        <v>1268</v>
      </c>
    </row>
    <row r="44" customFormat="false" ht="19.5" hidden="false" customHeight="true" outlineLevel="0" collapsed="false">
      <c r="A44" s="3" t="s">
        <v>1278</v>
      </c>
      <c r="B44" s="4"/>
      <c r="C44" s="4"/>
      <c r="D44" s="4"/>
      <c r="E44" s="4"/>
      <c r="F44" s="4"/>
    </row>
    <row r="45" customFormat="false" ht="30" hidden="false" customHeight="true" outlineLevel="0" collapsed="false">
      <c r="A45" s="5" t="s">
        <v>1279</v>
      </c>
      <c r="B45" s="5" t="s">
        <v>1280</v>
      </c>
      <c r="C45" s="5" t="s">
        <v>1281</v>
      </c>
      <c r="D45" s="5" t="s">
        <v>1282</v>
      </c>
      <c r="E45" s="5"/>
      <c r="F45" s="5"/>
    </row>
    <row r="46" customFormat="false" ht="94.5" hidden="false" customHeight="true" outlineLevel="0" collapsed="false">
      <c r="A46" s="6" t="s">
        <v>1283</v>
      </c>
      <c r="B46" s="6" t="s">
        <v>1284</v>
      </c>
      <c r="C46" s="6" t="s">
        <v>1285</v>
      </c>
      <c r="D46" s="6" t="s">
        <v>1286</v>
      </c>
      <c r="E46" s="6"/>
      <c r="F46" s="6"/>
    </row>
    <row r="47" customFormat="false" ht="94.5" hidden="false" customHeight="true" outlineLevel="0" collapsed="false">
      <c r="A47" s="6" t="s">
        <v>1287</v>
      </c>
      <c r="B47" s="6" t="s">
        <v>1288</v>
      </c>
      <c r="C47" s="6" t="s">
        <v>1289</v>
      </c>
      <c r="D47" s="6" t="s">
        <v>1290</v>
      </c>
      <c r="E47" s="6"/>
      <c r="F47" s="6"/>
    </row>
    <row r="48" customFormat="false" ht="69" hidden="false" customHeight="true" outlineLevel="0" collapsed="false">
      <c r="A48" s="6" t="s">
        <v>1291</v>
      </c>
      <c r="B48" s="6" t="s">
        <v>1292</v>
      </c>
      <c r="C48" s="6" t="s">
        <v>1293</v>
      </c>
      <c r="D48" s="6" t="s">
        <v>1294</v>
      </c>
      <c r="E48" s="6"/>
      <c r="F48" s="6"/>
    </row>
    <row r="49" customFormat="false" ht="69" hidden="false" customHeight="true" outlineLevel="0" collapsed="false">
      <c r="A49" s="6" t="s">
        <v>1295</v>
      </c>
      <c r="B49" s="6" t="s">
        <v>1296</v>
      </c>
      <c r="C49" s="6" t="s">
        <v>1297</v>
      </c>
      <c r="D49" s="6" t="s">
        <v>1298</v>
      </c>
      <c r="E49" s="6"/>
      <c r="F49" s="6"/>
    </row>
    <row r="50" customFormat="false" ht="81.75" hidden="false" customHeight="true" outlineLevel="0" collapsed="false">
      <c r="A50" s="6" t="s">
        <v>1299</v>
      </c>
      <c r="B50" s="6" t="s">
        <v>1300</v>
      </c>
      <c r="C50" s="6" t="s">
        <v>1301</v>
      </c>
      <c r="D50" s="6" t="s">
        <v>1302</v>
      </c>
      <c r="E50" s="6"/>
      <c r="F50" s="6"/>
    </row>
    <row r="51" customFormat="false" ht="69" hidden="false" customHeight="true" outlineLevel="0" collapsed="false">
      <c r="A51" s="6" t="s">
        <v>1303</v>
      </c>
      <c r="B51" s="6" t="s">
        <v>1304</v>
      </c>
      <c r="C51" s="6" t="s">
        <v>1305</v>
      </c>
      <c r="D51" s="6"/>
      <c r="E51" s="6"/>
      <c r="F51" s="6"/>
    </row>
    <row r="52" customFormat="false" ht="69" hidden="false" customHeight="true" outlineLevel="0" collapsed="false">
      <c r="A52" s="6" t="s">
        <v>1306</v>
      </c>
      <c r="B52" s="6" t="s">
        <v>1307</v>
      </c>
      <c r="C52" s="6" t="s">
        <v>1308</v>
      </c>
      <c r="D52" s="6" t="s">
        <v>1309</v>
      </c>
      <c r="E52" s="6"/>
      <c r="F52" s="6"/>
    </row>
    <row r="54" customFormat="false" ht="19.5" hidden="false" customHeight="true" outlineLevel="0" collapsed="false">
      <c r="A54" s="3" t="s">
        <v>1310</v>
      </c>
      <c r="B54" s="4"/>
      <c r="C54" s="4"/>
      <c r="D54" s="4"/>
      <c r="E54" s="4"/>
      <c r="F54" s="4"/>
    </row>
    <row r="55" customFormat="false" ht="30" hidden="false" customHeight="true" outlineLevel="0" collapsed="false">
      <c r="A55" s="5" t="s">
        <v>1311</v>
      </c>
      <c r="B55" s="5" t="s">
        <v>1312</v>
      </c>
      <c r="C55" s="5" t="s">
        <v>1313</v>
      </c>
      <c r="D55" s="5"/>
      <c r="E55" s="5"/>
      <c r="F55" s="5"/>
    </row>
    <row r="56" customFormat="false" ht="55.5" hidden="false" customHeight="true" outlineLevel="0" collapsed="false">
      <c r="A56" s="6" t="s">
        <v>1314</v>
      </c>
      <c r="B56" s="6" t="s">
        <v>1315</v>
      </c>
      <c r="C56" s="6" t="s">
        <v>1316</v>
      </c>
      <c r="D56" s="6"/>
      <c r="E56" s="6"/>
      <c r="F56" s="6"/>
    </row>
    <row r="57" customFormat="false" ht="108" hidden="false" customHeight="true" outlineLevel="0" collapsed="false">
      <c r="A57" s="6" t="s">
        <v>1317</v>
      </c>
      <c r="B57" s="6" t="s">
        <v>1318</v>
      </c>
      <c r="C57" s="6" t="s">
        <v>1319</v>
      </c>
      <c r="D57" s="6"/>
      <c r="E57" s="6"/>
      <c r="F57" s="6"/>
    </row>
    <row r="58" customFormat="false" ht="42.75" hidden="false" customHeight="true" outlineLevel="0" collapsed="false">
      <c r="A58" s="6" t="s">
        <v>1320</v>
      </c>
      <c r="B58" s="6" t="s">
        <v>1321</v>
      </c>
      <c r="C58" s="6" t="s">
        <v>1322</v>
      </c>
      <c r="D58" s="6"/>
      <c r="E58" s="6"/>
      <c r="F58" s="6"/>
    </row>
    <row r="59" customFormat="false" ht="42.75" hidden="false" customHeight="true" outlineLevel="0" collapsed="false">
      <c r="A59" s="6" t="s">
        <v>1323</v>
      </c>
      <c r="B59" s="6" t="s">
        <v>1324</v>
      </c>
      <c r="C59" s="6" t="s">
        <v>1325</v>
      </c>
      <c r="D59" s="6"/>
      <c r="E59" s="6"/>
      <c r="F59" s="6"/>
    </row>
  </sheetData>
  <mergeCells count="22">
    <mergeCell ref="A2:F2"/>
    <mergeCell ref="D16:F16"/>
    <mergeCell ref="D17:F17"/>
    <mergeCell ref="D18:F18"/>
    <mergeCell ref="D19:F19"/>
    <mergeCell ref="D20:F20"/>
    <mergeCell ref="D21:F21"/>
    <mergeCell ref="D22:F22"/>
    <mergeCell ref="D23:F23"/>
    <mergeCell ref="D45:F45"/>
    <mergeCell ref="D46:F46"/>
    <mergeCell ref="D47:F47"/>
    <mergeCell ref="D48:F48"/>
    <mergeCell ref="D49:F49"/>
    <mergeCell ref="D50:F50"/>
    <mergeCell ref="D51:F51"/>
    <mergeCell ref="D52:F52"/>
    <mergeCell ref="C55:F55"/>
    <mergeCell ref="C56:F56"/>
    <mergeCell ref="C57:F57"/>
    <mergeCell ref="C58:F58"/>
    <mergeCell ref="C59:F5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34"/>
    <col collapsed="false" customWidth="true" hidden="false" outlineLevel="0" max="5" min="4" style="0" width="30"/>
    <col collapsed="false" customWidth="true" hidden="false" outlineLevel="0" max="6" min="6" style="0" width="34"/>
  </cols>
  <sheetData>
    <row r="1" customFormat="false" ht="24" hidden="false" customHeight="true" outlineLevel="0" collapsed="false">
      <c r="A1" s="1" t="s">
        <v>1326</v>
      </c>
    </row>
    <row r="2" customFormat="false" ht="30" hidden="false" customHeight="true" outlineLevel="0" collapsed="false">
      <c r="A2" s="2" t="s">
        <v>1327</v>
      </c>
      <c r="B2" s="2"/>
      <c r="C2" s="2"/>
      <c r="D2" s="2"/>
      <c r="E2" s="2"/>
      <c r="F2" s="2"/>
    </row>
    <row r="4" customFormat="false" ht="19.5" hidden="false" customHeight="true" outlineLevel="0" collapsed="false">
      <c r="A4" s="3" t="s">
        <v>1328</v>
      </c>
      <c r="B4" s="4"/>
      <c r="C4" s="4"/>
      <c r="D4" s="4"/>
      <c r="E4" s="4"/>
      <c r="F4" s="4"/>
    </row>
    <row r="5" customFormat="false" ht="30" hidden="false" customHeight="true" outlineLevel="0" collapsed="false">
      <c r="A5" s="5" t="s">
        <v>1329</v>
      </c>
      <c r="B5" s="5" t="s">
        <v>996</v>
      </c>
      <c r="C5" s="5" t="s">
        <v>1330</v>
      </c>
      <c r="D5" s="5" t="s">
        <v>1331</v>
      </c>
      <c r="E5" s="5" t="s">
        <v>1332</v>
      </c>
      <c r="F5" s="5"/>
    </row>
    <row r="6" customFormat="false" ht="55.5" hidden="false" customHeight="true" outlineLevel="0" collapsed="false">
      <c r="A6" s="6" t="s">
        <v>1333</v>
      </c>
      <c r="B6" s="6" t="s">
        <v>1334</v>
      </c>
      <c r="C6" s="6" t="s">
        <v>1335</v>
      </c>
      <c r="D6" s="6" t="s">
        <v>1336</v>
      </c>
      <c r="E6" s="6" t="s">
        <v>1337</v>
      </c>
      <c r="F6" s="6"/>
    </row>
    <row r="7" customFormat="false" ht="42.75" hidden="false" customHeight="true" outlineLevel="0" collapsed="false">
      <c r="A7" s="6" t="s">
        <v>1338</v>
      </c>
      <c r="B7" s="6" t="s">
        <v>1339</v>
      </c>
      <c r="C7" s="6" t="s">
        <v>1340</v>
      </c>
      <c r="D7" s="6" t="s">
        <v>1341</v>
      </c>
      <c r="E7" s="6" t="s">
        <v>251</v>
      </c>
      <c r="F7" s="6"/>
    </row>
    <row r="8" customFormat="false" ht="42.75" hidden="false" customHeight="true" outlineLevel="0" collapsed="false">
      <c r="A8" s="6" t="s">
        <v>1342</v>
      </c>
      <c r="B8" s="6" t="s">
        <v>1343</v>
      </c>
      <c r="C8" s="6" t="s">
        <v>1344</v>
      </c>
      <c r="D8" s="6" t="s">
        <v>1345</v>
      </c>
      <c r="E8" s="6" t="s">
        <v>251</v>
      </c>
      <c r="F8" s="6"/>
    </row>
    <row r="9" customFormat="false" ht="42.75" hidden="false" customHeight="true" outlineLevel="0" collapsed="false">
      <c r="A9" s="6" t="s">
        <v>1346</v>
      </c>
      <c r="B9" s="6" t="s">
        <v>1347</v>
      </c>
      <c r="C9" s="6" t="s">
        <v>1348</v>
      </c>
      <c r="D9" s="6" t="s">
        <v>1349</v>
      </c>
      <c r="E9" s="6" t="s">
        <v>239</v>
      </c>
      <c r="F9" s="6"/>
    </row>
    <row r="10" customFormat="false" ht="30" hidden="false" customHeight="true" outlineLevel="0" collapsed="false">
      <c r="A10" s="6" t="s">
        <v>1350</v>
      </c>
      <c r="B10" s="6" t="s">
        <v>1351</v>
      </c>
      <c r="C10" s="6" t="s">
        <v>1352</v>
      </c>
      <c r="D10" s="6" t="s">
        <v>1353</v>
      </c>
      <c r="E10" s="6" t="s">
        <v>251</v>
      </c>
      <c r="F10" s="6"/>
    </row>
    <row r="11" customFormat="false" ht="42.75" hidden="false" customHeight="true" outlineLevel="0" collapsed="false">
      <c r="A11" s="6" t="s">
        <v>1354</v>
      </c>
      <c r="B11" s="6" t="s">
        <v>1355</v>
      </c>
      <c r="C11" s="6" t="s">
        <v>1356</v>
      </c>
      <c r="D11" s="6" t="s">
        <v>1357</v>
      </c>
      <c r="E11" s="6" t="s">
        <v>251</v>
      </c>
      <c r="F11" s="6"/>
    </row>
    <row r="13" customFormat="false" ht="19.5" hidden="false" customHeight="true" outlineLevel="0" collapsed="false">
      <c r="A13" s="3" t="s">
        <v>1358</v>
      </c>
      <c r="B13" s="4"/>
      <c r="C13" s="4"/>
      <c r="D13" s="4"/>
      <c r="E13" s="4"/>
      <c r="F13" s="4"/>
    </row>
    <row r="14" customFormat="false" ht="30" hidden="false" customHeight="true" outlineLevel="0" collapsed="false">
      <c r="A14" s="5" t="s">
        <v>544</v>
      </c>
      <c r="B14" s="5" t="s">
        <v>996</v>
      </c>
      <c r="C14" s="5" t="s">
        <v>1359</v>
      </c>
      <c r="D14" s="5" t="s">
        <v>120</v>
      </c>
      <c r="E14" s="5" t="s">
        <v>1360</v>
      </c>
      <c r="F14" s="5" t="s">
        <v>1361</v>
      </c>
    </row>
    <row r="15" customFormat="false" ht="40.5" hidden="false" customHeight="true" outlineLevel="0" collapsed="false">
      <c r="A15" s="6" t="s">
        <v>1362</v>
      </c>
      <c r="B15" s="6" t="s">
        <v>1363</v>
      </c>
      <c r="C15" s="6" t="s">
        <v>738</v>
      </c>
      <c r="D15" s="6" t="s">
        <v>1364</v>
      </c>
      <c r="E15" s="6" t="s">
        <v>1365</v>
      </c>
      <c r="F15" s="6" t="s">
        <v>1366</v>
      </c>
    </row>
    <row r="16" customFormat="false" ht="54" hidden="false" customHeight="true" outlineLevel="0" collapsed="false">
      <c r="A16" s="6" t="s">
        <v>1367</v>
      </c>
      <c r="B16" s="6" t="s">
        <v>1368</v>
      </c>
      <c r="C16" s="6" t="s">
        <v>766</v>
      </c>
      <c r="D16" s="6" t="s">
        <v>1369</v>
      </c>
      <c r="E16" s="6" t="s">
        <v>1370</v>
      </c>
      <c r="F16" s="6" t="s">
        <v>1371</v>
      </c>
    </row>
    <row r="17" customFormat="false" ht="40.5" hidden="false" customHeight="true" outlineLevel="0" collapsed="false">
      <c r="A17" s="6" t="s">
        <v>1372</v>
      </c>
      <c r="B17" s="6" t="s">
        <v>1373</v>
      </c>
      <c r="C17" s="6" t="s">
        <v>756</v>
      </c>
      <c r="D17" s="6" t="s">
        <v>1369</v>
      </c>
      <c r="E17" s="6" t="s">
        <v>1374</v>
      </c>
      <c r="F17" s="6" t="s">
        <v>1375</v>
      </c>
    </row>
    <row r="18" customFormat="false" ht="27.75" hidden="false" customHeight="true" outlineLevel="0" collapsed="false">
      <c r="A18" s="6" t="s">
        <v>1376</v>
      </c>
      <c r="B18" s="6" t="s">
        <v>1377</v>
      </c>
      <c r="C18" s="6" t="s">
        <v>1378</v>
      </c>
      <c r="D18" s="6" t="s">
        <v>1364</v>
      </c>
      <c r="E18" s="6" t="s">
        <v>1379</v>
      </c>
      <c r="F18" s="6" t="s">
        <v>769</v>
      </c>
    </row>
    <row r="19" customFormat="false" ht="27.75" hidden="false" customHeight="true" outlineLevel="0" collapsed="false">
      <c r="A19" s="6" t="s">
        <v>1380</v>
      </c>
      <c r="B19" s="6" t="s">
        <v>1381</v>
      </c>
      <c r="C19" s="6" t="s">
        <v>775</v>
      </c>
      <c r="D19" s="6" t="s">
        <v>1369</v>
      </c>
      <c r="E19" s="6" t="s">
        <v>1382</v>
      </c>
      <c r="F19" s="6" t="s">
        <v>1383</v>
      </c>
    </row>
    <row r="20" customFormat="false" ht="27.75" hidden="false" customHeight="true" outlineLevel="0" collapsed="false">
      <c r="A20" s="6" t="s">
        <v>1384</v>
      </c>
      <c r="B20" s="6" t="s">
        <v>1385</v>
      </c>
      <c r="C20" s="6" t="s">
        <v>785</v>
      </c>
      <c r="D20" s="6" t="s">
        <v>1364</v>
      </c>
      <c r="E20" s="6" t="s">
        <v>1386</v>
      </c>
      <c r="F20" s="6" t="s">
        <v>788</v>
      </c>
    </row>
    <row r="22" customFormat="false" ht="19.5" hidden="false" customHeight="true" outlineLevel="0" collapsed="false">
      <c r="A22" s="3" t="s">
        <v>1387</v>
      </c>
      <c r="B22" s="4"/>
      <c r="C22" s="4"/>
      <c r="D22" s="4"/>
      <c r="E22" s="4"/>
      <c r="F22" s="4"/>
    </row>
    <row r="23" customFormat="false" ht="30" hidden="false" customHeight="true" outlineLevel="0" collapsed="false">
      <c r="A23" s="5" t="s">
        <v>1388</v>
      </c>
      <c r="B23" s="5" t="s">
        <v>1389</v>
      </c>
      <c r="C23" s="5" t="s">
        <v>1390</v>
      </c>
      <c r="D23" s="5" t="s">
        <v>1391</v>
      </c>
      <c r="E23" s="5" t="s">
        <v>1392</v>
      </c>
      <c r="F23" s="5"/>
    </row>
    <row r="24" customFormat="false" ht="42.75" hidden="false" customHeight="true" outlineLevel="0" collapsed="false">
      <c r="A24" s="6" t="s">
        <v>1393</v>
      </c>
      <c r="B24" s="6" t="s">
        <v>1394</v>
      </c>
      <c r="C24" s="6" t="s">
        <v>1395</v>
      </c>
      <c r="D24" s="6" t="s">
        <v>1396</v>
      </c>
      <c r="E24" s="6" t="s">
        <v>1397</v>
      </c>
      <c r="F24" s="6"/>
    </row>
    <row r="25" customFormat="false" ht="42.75" hidden="false" customHeight="true" outlineLevel="0" collapsed="false">
      <c r="A25" s="6" t="s">
        <v>1398</v>
      </c>
      <c r="B25" s="6" t="s">
        <v>1399</v>
      </c>
      <c r="C25" s="6" t="s">
        <v>1400</v>
      </c>
      <c r="D25" s="6" t="s">
        <v>1401</v>
      </c>
      <c r="E25" s="6" t="s">
        <v>1402</v>
      </c>
      <c r="F25" s="6"/>
    </row>
    <row r="26" customFormat="false" ht="30" hidden="false" customHeight="true" outlineLevel="0" collapsed="false">
      <c r="A26" s="6" t="s">
        <v>1403</v>
      </c>
      <c r="B26" s="6" t="s">
        <v>1404</v>
      </c>
      <c r="C26" s="6" t="s">
        <v>1405</v>
      </c>
      <c r="D26" s="6" t="s">
        <v>1406</v>
      </c>
      <c r="E26" s="6" t="s">
        <v>1407</v>
      </c>
      <c r="F26" s="6"/>
    </row>
    <row r="27" customFormat="false" ht="42.75" hidden="false" customHeight="true" outlineLevel="0" collapsed="false">
      <c r="A27" s="6" t="s">
        <v>1408</v>
      </c>
      <c r="B27" s="6" t="s">
        <v>1409</v>
      </c>
      <c r="C27" s="6" t="s">
        <v>1410</v>
      </c>
      <c r="D27" s="6" t="s">
        <v>1411</v>
      </c>
      <c r="E27" s="6" t="s">
        <v>1412</v>
      </c>
      <c r="F27" s="6"/>
    </row>
    <row r="28" customFormat="false" ht="30" hidden="false" customHeight="true" outlineLevel="0" collapsed="false">
      <c r="A28" s="6" t="s">
        <v>1413</v>
      </c>
      <c r="B28" s="6" t="s">
        <v>1414</v>
      </c>
      <c r="C28" s="6" t="s">
        <v>1415</v>
      </c>
      <c r="D28" s="6" t="s">
        <v>1416</v>
      </c>
      <c r="E28" s="6" t="s">
        <v>1417</v>
      </c>
      <c r="F28" s="6"/>
    </row>
    <row r="29" customFormat="false" ht="30" hidden="false" customHeight="true" outlineLevel="0" collapsed="false">
      <c r="A29" s="6" t="s">
        <v>1418</v>
      </c>
      <c r="B29" s="6" t="s">
        <v>1419</v>
      </c>
      <c r="C29" s="6" t="s">
        <v>1420</v>
      </c>
      <c r="D29" s="6" t="s">
        <v>1421</v>
      </c>
      <c r="E29" s="6" t="s">
        <v>1422</v>
      </c>
      <c r="F29" s="6"/>
    </row>
    <row r="31" customFormat="false" ht="19.5" hidden="false" customHeight="true" outlineLevel="0" collapsed="false">
      <c r="A31" s="3" t="s">
        <v>1423</v>
      </c>
      <c r="B31" s="4"/>
      <c r="C31" s="4"/>
      <c r="D31" s="4"/>
      <c r="E31" s="4"/>
      <c r="F31" s="4"/>
    </row>
    <row r="32" customFormat="false" ht="30" hidden="false" customHeight="true" outlineLevel="0" collapsed="false">
      <c r="A32" s="5" t="s">
        <v>1089</v>
      </c>
      <c r="B32" s="5" t="s">
        <v>1424</v>
      </c>
      <c r="C32" s="5" t="s">
        <v>1425</v>
      </c>
      <c r="D32" s="5" t="s">
        <v>122</v>
      </c>
      <c r="E32" s="5"/>
      <c r="F32" s="5"/>
    </row>
    <row r="33" customFormat="false" ht="55.5" hidden="false" customHeight="true" outlineLevel="0" collapsed="false">
      <c r="A33" s="6" t="s">
        <v>1426</v>
      </c>
      <c r="B33" s="6" t="s">
        <v>1427</v>
      </c>
      <c r="C33" s="6" t="s">
        <v>1428</v>
      </c>
      <c r="D33" s="6" t="s">
        <v>1429</v>
      </c>
      <c r="E33" s="6"/>
      <c r="F33" s="6"/>
    </row>
    <row r="34" customFormat="false" ht="42.75" hidden="false" customHeight="true" outlineLevel="0" collapsed="false">
      <c r="A34" s="6" t="s">
        <v>1430</v>
      </c>
      <c r="B34" s="6" t="s">
        <v>1431</v>
      </c>
      <c r="C34" s="6" t="s">
        <v>1432</v>
      </c>
      <c r="D34" s="6" t="s">
        <v>1433</v>
      </c>
      <c r="E34" s="6"/>
      <c r="F34" s="6"/>
    </row>
    <row r="35" customFormat="false" ht="30" hidden="false" customHeight="true" outlineLevel="0" collapsed="false">
      <c r="A35" s="6" t="s">
        <v>1434</v>
      </c>
      <c r="B35" s="6" t="s">
        <v>1435</v>
      </c>
      <c r="C35" s="6" t="s">
        <v>1436</v>
      </c>
      <c r="D35" s="6" t="s">
        <v>1437</v>
      </c>
      <c r="E35" s="6"/>
      <c r="F35" s="6"/>
    </row>
    <row r="36" customFormat="false" ht="42.75" hidden="false" customHeight="true" outlineLevel="0" collapsed="false">
      <c r="A36" s="6" t="s">
        <v>1438</v>
      </c>
      <c r="B36" s="6" t="s">
        <v>1439</v>
      </c>
      <c r="C36" s="6" t="s">
        <v>1440</v>
      </c>
      <c r="D36" s="6" t="s">
        <v>1441</v>
      </c>
      <c r="E36" s="6"/>
      <c r="F36" s="6"/>
    </row>
    <row r="37" customFormat="false" ht="42.75" hidden="false" customHeight="true" outlineLevel="0" collapsed="false">
      <c r="A37" s="6" t="s">
        <v>1442</v>
      </c>
      <c r="B37" s="6" t="s">
        <v>1443</v>
      </c>
      <c r="C37" s="6" t="s">
        <v>1444</v>
      </c>
      <c r="D37" s="6" t="s">
        <v>1445</v>
      </c>
      <c r="E37" s="6"/>
      <c r="F37" s="6"/>
    </row>
  </sheetData>
  <mergeCells count="21">
    <mergeCell ref="A2:F2"/>
    <mergeCell ref="E5:F5"/>
    <mergeCell ref="E6:F6"/>
    <mergeCell ref="E7:F7"/>
    <mergeCell ref="E8:F8"/>
    <mergeCell ref="E9:F9"/>
    <mergeCell ref="E10:F10"/>
    <mergeCell ref="E11:F11"/>
    <mergeCell ref="E23:F23"/>
    <mergeCell ref="E24:F24"/>
    <mergeCell ref="E25:F25"/>
    <mergeCell ref="E26:F26"/>
    <mergeCell ref="E27:F27"/>
    <mergeCell ref="E28:F28"/>
    <mergeCell ref="E29:F29"/>
    <mergeCell ref="D32:F32"/>
    <mergeCell ref="D33:F33"/>
    <mergeCell ref="D34:F34"/>
    <mergeCell ref="D35:F35"/>
    <mergeCell ref="D36:F36"/>
    <mergeCell ref="D37:F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5" min="3" style="0" width="14"/>
    <col collapsed="false" customWidth="true" hidden="false" outlineLevel="0" max="6" min="6" style="0" width="46"/>
  </cols>
  <sheetData>
    <row r="1" customFormat="false" ht="24" hidden="false" customHeight="true" outlineLevel="0" collapsed="false">
      <c r="A1" s="1" t="s">
        <v>1446</v>
      </c>
    </row>
    <row r="2" customFormat="false" ht="30" hidden="false" customHeight="true" outlineLevel="0" collapsed="false">
      <c r="A2" s="2" t="s">
        <v>1447</v>
      </c>
      <c r="B2" s="2"/>
      <c r="C2" s="2"/>
      <c r="D2" s="2"/>
      <c r="E2" s="2"/>
      <c r="F2" s="2"/>
    </row>
    <row r="4" customFormat="false" ht="19.5" hidden="false" customHeight="true" outlineLevel="0" collapsed="false">
      <c r="A4" s="3" t="s">
        <v>1448</v>
      </c>
      <c r="B4" s="4"/>
      <c r="C4" s="4"/>
      <c r="D4" s="4"/>
      <c r="E4" s="4"/>
      <c r="F4" s="4"/>
    </row>
    <row r="5" customFormat="false" ht="15" hidden="false" customHeight="true" outlineLevel="0" collapsed="false">
      <c r="A5" s="5" t="s">
        <v>1449</v>
      </c>
      <c r="B5" s="5" t="s">
        <v>535</v>
      </c>
      <c r="C5" s="5" t="s">
        <v>1195</v>
      </c>
      <c r="D5" s="5" t="s">
        <v>1450</v>
      </c>
      <c r="E5" s="5"/>
      <c r="F5" s="5"/>
    </row>
    <row r="6" customFormat="false" ht="16.5" hidden="false" customHeight="true" outlineLevel="0" collapsed="false">
      <c r="A6" s="26" t="s">
        <v>1451</v>
      </c>
      <c r="B6" s="37" t="n">
        <v>21300</v>
      </c>
      <c r="C6" s="38" t="s">
        <v>1452</v>
      </c>
      <c r="D6" s="39" t="s">
        <v>1453</v>
      </c>
      <c r="E6" s="39"/>
      <c r="F6" s="39"/>
    </row>
    <row r="7" customFormat="false" ht="16.5" hidden="false" customHeight="true" outlineLevel="0" collapsed="false">
      <c r="A7" s="26" t="s">
        <v>1454</v>
      </c>
      <c r="B7" s="37" t="n">
        <v>12200</v>
      </c>
      <c r="C7" s="38" t="s">
        <v>1452</v>
      </c>
      <c r="D7" s="39" t="s">
        <v>1455</v>
      </c>
      <c r="E7" s="39"/>
      <c r="F7" s="39"/>
    </row>
    <row r="8" customFormat="false" ht="16.5" hidden="false" customHeight="true" outlineLevel="0" collapsed="false">
      <c r="A8" s="26" t="s">
        <v>1456</v>
      </c>
      <c r="B8" s="37" t="n">
        <v>3100</v>
      </c>
      <c r="C8" s="38" t="s">
        <v>1452</v>
      </c>
      <c r="D8" s="39" t="s">
        <v>1457</v>
      </c>
      <c r="E8" s="39"/>
      <c r="F8" s="39"/>
    </row>
    <row r="9" customFormat="false" ht="16.5" hidden="false" customHeight="true" outlineLevel="0" collapsed="false">
      <c r="A9" s="26" t="s">
        <v>1458</v>
      </c>
      <c r="B9" s="37" t="n">
        <v>10800</v>
      </c>
      <c r="C9" s="38" t="s">
        <v>1452</v>
      </c>
      <c r="D9" s="39" t="s">
        <v>1459</v>
      </c>
      <c r="E9" s="39"/>
      <c r="F9" s="39"/>
    </row>
    <row r="10" customFormat="false" ht="16.5" hidden="false" customHeight="true" outlineLevel="0" collapsed="false">
      <c r="A10" s="26" t="s">
        <v>1460</v>
      </c>
      <c r="B10" s="37" t="n">
        <v>1017000</v>
      </c>
      <c r="C10" s="38" t="s">
        <v>1452</v>
      </c>
      <c r="D10" s="39" t="s">
        <v>1461</v>
      </c>
      <c r="E10" s="39"/>
      <c r="F10" s="39"/>
    </row>
    <row r="11" customFormat="false" ht="16.5" hidden="false" customHeight="true" outlineLevel="0" collapsed="false">
      <c r="A11" s="26" t="s">
        <v>1462</v>
      </c>
      <c r="B11" s="37" t="n">
        <v>6000</v>
      </c>
      <c r="C11" s="38" t="s">
        <v>1463</v>
      </c>
      <c r="D11" s="39" t="s">
        <v>1464</v>
      </c>
      <c r="E11" s="39"/>
      <c r="F11" s="39"/>
    </row>
    <row r="12" customFormat="false" ht="16.5" hidden="false" customHeight="true" outlineLevel="0" collapsed="false">
      <c r="A12" s="26" t="s">
        <v>1465</v>
      </c>
      <c r="B12" s="40" t="n">
        <v>0.075</v>
      </c>
      <c r="C12" s="38" t="s">
        <v>1466</v>
      </c>
      <c r="D12" s="39" t="s">
        <v>1467</v>
      </c>
      <c r="E12" s="39"/>
      <c r="F12" s="39"/>
    </row>
    <row r="13" customFormat="false" ht="16.5" hidden="false" customHeight="true" outlineLevel="0" collapsed="false">
      <c r="A13" s="26" t="s">
        <v>1468</v>
      </c>
      <c r="B13" s="37" t="n">
        <v>3000000</v>
      </c>
      <c r="C13" s="38" t="s">
        <v>1469</v>
      </c>
      <c r="D13" s="39" t="s">
        <v>1470</v>
      </c>
      <c r="E13" s="39"/>
      <c r="F13" s="39"/>
    </row>
    <row r="14" customFormat="false" ht="16.5" hidden="false" customHeight="true" outlineLevel="0" collapsed="false">
      <c r="A14" s="26" t="s">
        <v>1471</v>
      </c>
      <c r="B14" s="37" t="n">
        <v>2000</v>
      </c>
      <c r="C14" s="38" t="s">
        <v>1466</v>
      </c>
      <c r="D14" s="39" t="s">
        <v>1472</v>
      </c>
      <c r="E14" s="39"/>
      <c r="F14" s="39"/>
    </row>
    <row r="15" customFormat="false" ht="16.5" hidden="false" customHeight="true" outlineLevel="0" collapsed="false">
      <c r="A15" s="26" t="s">
        <v>1473</v>
      </c>
      <c r="B15" s="41" t="n">
        <v>0.6</v>
      </c>
      <c r="C15" s="38" t="s">
        <v>1474</v>
      </c>
      <c r="D15" s="39" t="s">
        <v>1475</v>
      </c>
      <c r="E15" s="39"/>
      <c r="F15" s="39"/>
    </row>
    <row r="16" customFormat="false" ht="16.5" hidden="false" customHeight="true" outlineLevel="0" collapsed="false">
      <c r="A16" s="26" t="s">
        <v>1476</v>
      </c>
      <c r="B16" s="37" t="n">
        <v>5000</v>
      </c>
      <c r="C16" s="38" t="s">
        <v>1477</v>
      </c>
      <c r="D16" s="39" t="s">
        <v>1478</v>
      </c>
      <c r="E16" s="39"/>
      <c r="F16" s="39"/>
    </row>
    <row r="17" customFormat="false" ht="16.5" hidden="false" customHeight="true" outlineLevel="0" collapsed="false">
      <c r="A17" s="26" t="s">
        <v>1479</v>
      </c>
      <c r="B17" s="40" t="n">
        <v>0.2</v>
      </c>
      <c r="C17" s="38" t="s">
        <v>1452</v>
      </c>
      <c r="D17" s="39" t="s">
        <v>1475</v>
      </c>
      <c r="E17" s="39"/>
      <c r="F17" s="39"/>
    </row>
    <row r="18" customFormat="false" ht="30" hidden="false" customHeight="true" outlineLevel="0" collapsed="false">
      <c r="A18" s="26" t="s">
        <v>1480</v>
      </c>
      <c r="B18" s="37" t="n">
        <v>400</v>
      </c>
      <c r="C18" s="38" t="s">
        <v>1466</v>
      </c>
      <c r="D18" s="39" t="s">
        <v>1481</v>
      </c>
      <c r="E18" s="39"/>
      <c r="F18" s="39"/>
    </row>
    <row r="20" customFormat="false" ht="19.5" hidden="false" customHeight="true" outlineLevel="0" collapsed="false">
      <c r="A20" s="3" t="s">
        <v>1482</v>
      </c>
      <c r="B20" s="4"/>
      <c r="C20" s="4"/>
      <c r="D20" s="4"/>
      <c r="E20" s="4"/>
      <c r="F20" s="4"/>
    </row>
    <row r="21" customFormat="false" ht="23.85" hidden="false" customHeight="true" outlineLevel="0" collapsed="false">
      <c r="A21" s="5" t="s">
        <v>1483</v>
      </c>
      <c r="B21" s="5" t="s">
        <v>1475</v>
      </c>
      <c r="C21" s="5" t="s">
        <v>1195</v>
      </c>
      <c r="D21" s="5" t="s">
        <v>1484</v>
      </c>
      <c r="E21" s="5" t="s">
        <v>1485</v>
      </c>
      <c r="F21" s="5"/>
    </row>
    <row r="22" customFormat="false" ht="42.75" hidden="false" customHeight="true" outlineLevel="0" collapsed="false">
      <c r="A22" s="42" t="s">
        <v>1486</v>
      </c>
      <c r="B22" s="43" t="n">
        <v>0.2</v>
      </c>
      <c r="C22" s="38" t="s">
        <v>1487</v>
      </c>
      <c r="D22" s="44" t="n">
        <f aca="false">$B$11*$B$12*B22</f>
        <v>90</v>
      </c>
      <c r="E22" s="39" t="s">
        <v>1488</v>
      </c>
      <c r="F22" s="39"/>
    </row>
    <row r="23" customFormat="false" ht="55.5" hidden="false" customHeight="true" outlineLevel="0" collapsed="false">
      <c r="A23" s="42" t="s">
        <v>1489</v>
      </c>
      <c r="B23" s="43" t="n">
        <v>0.15</v>
      </c>
      <c r="C23" s="38" t="s">
        <v>1490</v>
      </c>
      <c r="D23" s="44" t="n">
        <f aca="false">$B$14*$B$15*B23</f>
        <v>180</v>
      </c>
      <c r="E23" s="39" t="s">
        <v>1491</v>
      </c>
      <c r="F23" s="39"/>
    </row>
    <row r="24" customFormat="false" ht="42.75" hidden="false" customHeight="true" outlineLevel="0" collapsed="false">
      <c r="A24" s="42" t="s">
        <v>1492</v>
      </c>
      <c r="B24" s="37" t="n">
        <v>20</v>
      </c>
      <c r="C24" s="38" t="s">
        <v>1493</v>
      </c>
      <c r="D24" s="44" t="n">
        <f aca="false">$B$16*$B$17*B24/365</f>
        <v>54.7945205479452</v>
      </c>
      <c r="E24" s="39" t="s">
        <v>1494</v>
      </c>
      <c r="F24" s="39"/>
    </row>
    <row r="25" customFormat="false" ht="42.75" hidden="false" customHeight="true" outlineLevel="0" collapsed="false">
      <c r="A25" s="42" t="s">
        <v>1495</v>
      </c>
      <c r="B25" s="43" t="n">
        <v>0.01</v>
      </c>
      <c r="C25" s="38" t="s">
        <v>1496</v>
      </c>
      <c r="D25" s="44" t="n">
        <f aca="false">$B$8*B25*0.5</f>
        <v>15.5</v>
      </c>
      <c r="E25" s="39" t="s">
        <v>1497</v>
      </c>
      <c r="F25" s="39"/>
    </row>
    <row r="26" customFormat="false" ht="30" hidden="false" customHeight="true" outlineLevel="0" collapsed="false">
      <c r="A26" s="42" t="s">
        <v>1498</v>
      </c>
      <c r="B26" s="43" t="n">
        <v>0.0025</v>
      </c>
      <c r="C26" s="38" t="s">
        <v>1499</v>
      </c>
      <c r="D26" s="44" t="n">
        <f aca="false">$B$10*B26*B27</f>
        <v>30.51</v>
      </c>
      <c r="E26" s="39" t="s">
        <v>1500</v>
      </c>
      <c r="F26" s="39"/>
    </row>
    <row r="27" customFormat="false" ht="30" hidden="false" customHeight="true" outlineLevel="0" collapsed="false">
      <c r="A27" s="6" t="s">
        <v>1501</v>
      </c>
      <c r="B27" s="43" t="n">
        <v>0.012</v>
      </c>
      <c r="C27" s="38" t="s">
        <v>1502</v>
      </c>
      <c r="E27" s="39" t="s">
        <v>1503</v>
      </c>
      <c r="F27" s="39"/>
    </row>
    <row r="28" customFormat="false" ht="30" hidden="false" customHeight="true" outlineLevel="0" collapsed="false">
      <c r="A28" s="42" t="s">
        <v>1504</v>
      </c>
      <c r="B28" s="43" t="n">
        <v>0.25</v>
      </c>
      <c r="C28" s="38" t="s">
        <v>1505</v>
      </c>
      <c r="D28" s="44" t="n">
        <f aca="false">$B$18*B28</f>
        <v>100</v>
      </c>
      <c r="E28" s="39" t="s">
        <v>1506</v>
      </c>
      <c r="F28" s="39"/>
    </row>
    <row r="29" customFormat="false" ht="30" hidden="false" customHeight="true" outlineLevel="0" collapsed="false">
      <c r="A29" s="42" t="s">
        <v>1507</v>
      </c>
      <c r="B29" s="43" t="n">
        <v>0.002</v>
      </c>
      <c r="C29" s="38" t="s">
        <v>1508</v>
      </c>
      <c r="D29" s="44" t="n">
        <f aca="false">$B$6*B29</f>
        <v>42.6</v>
      </c>
      <c r="E29" s="39" t="s">
        <v>1509</v>
      </c>
      <c r="F29" s="39"/>
    </row>
    <row r="30" customFormat="false" ht="15" hidden="false" customHeight="false" outlineLevel="0" collapsed="false">
      <c r="A30" s="29" t="s">
        <v>1510</v>
      </c>
      <c r="D30" s="45" t="n">
        <f aca="false">SUM(D22,D23,D24,D25,D26,D28,D29)</f>
        <v>513.404520547945</v>
      </c>
    </row>
    <row r="31" customFormat="false" ht="15" hidden="false" customHeight="false" outlineLevel="0" collapsed="false">
      <c r="A31" s="46" t="s">
        <v>1511</v>
      </c>
      <c r="D31" s="47" t="n">
        <f aca="false">D30/$B$9</f>
        <v>0.0475374556062912</v>
      </c>
    </row>
    <row r="32" customFormat="false" ht="15" hidden="false" customHeight="false" outlineLevel="0" collapsed="false">
      <c r="A32" s="46" t="s">
        <v>1512</v>
      </c>
      <c r="D32" s="47" t="n">
        <f aca="false">D30/$B$6</f>
        <v>0.0241034986172744</v>
      </c>
    </row>
    <row r="34" customFormat="false" ht="19.5" hidden="false" customHeight="true" outlineLevel="0" collapsed="false">
      <c r="A34" s="3" t="s">
        <v>1513</v>
      </c>
      <c r="B34" s="4"/>
      <c r="C34" s="4"/>
      <c r="D34" s="4"/>
      <c r="E34" s="4"/>
      <c r="F34" s="4"/>
    </row>
    <row r="35" customFormat="false" ht="35.05" hidden="false" customHeight="false" outlineLevel="0" collapsed="false">
      <c r="A35" s="5" t="s">
        <v>1514</v>
      </c>
      <c r="B35" s="5" t="s">
        <v>1515</v>
      </c>
      <c r="C35" s="5" t="s">
        <v>1516</v>
      </c>
      <c r="D35" s="5" t="s">
        <v>1517</v>
      </c>
      <c r="E35" s="5" t="s">
        <v>1518</v>
      </c>
      <c r="F35" s="5" t="s">
        <v>941</v>
      </c>
    </row>
    <row r="36" customFormat="false" ht="15" hidden="false" customHeight="false" outlineLevel="0" collapsed="false">
      <c r="A36" s="29" t="s">
        <v>268</v>
      </c>
      <c r="B36" s="48" t="n">
        <v>0.5</v>
      </c>
      <c r="C36" s="44" t="n">
        <f aca="false">$D$30*B36</f>
        <v>256.702260273973</v>
      </c>
      <c r="D36" s="37" t="n">
        <v>150</v>
      </c>
      <c r="E36" s="49" t="n">
        <f aca="false">C36-D36</f>
        <v>106.702260273973</v>
      </c>
      <c r="F36" s="39" t="s">
        <v>1519</v>
      </c>
    </row>
    <row r="37" customFormat="false" ht="15" hidden="false" customHeight="false" outlineLevel="0" collapsed="false">
      <c r="A37" s="29" t="s">
        <v>1520</v>
      </c>
      <c r="B37" s="48" t="n">
        <v>1</v>
      </c>
      <c r="C37" s="44" t="n">
        <f aca="false">$D$30*B37</f>
        <v>513.404520547945</v>
      </c>
      <c r="D37" s="37" t="n">
        <v>150</v>
      </c>
      <c r="E37" s="49" t="n">
        <f aca="false">C37-D37</f>
        <v>363.404520547945</v>
      </c>
      <c r="F37" s="39" t="s">
        <v>1521</v>
      </c>
    </row>
    <row r="38" customFormat="false" ht="15" hidden="false" customHeight="false" outlineLevel="0" collapsed="false">
      <c r="A38" s="29" t="s">
        <v>251</v>
      </c>
      <c r="B38" s="48" t="n">
        <v>1.5</v>
      </c>
      <c r="C38" s="44" t="n">
        <f aca="false">$D$30*B38</f>
        <v>770.106780821918</v>
      </c>
      <c r="D38" s="37" t="n">
        <v>150</v>
      </c>
      <c r="E38" s="49" t="n">
        <f aca="false">C38-D38</f>
        <v>620.106780821918</v>
      </c>
      <c r="F38" s="39" t="s">
        <v>1522</v>
      </c>
    </row>
    <row r="39" customFormat="false" ht="39" hidden="false" customHeight="true" outlineLevel="0" collapsed="false">
      <c r="A39" s="25" t="s">
        <v>1523</v>
      </c>
      <c r="B39" s="25"/>
      <c r="C39" s="25"/>
      <c r="D39" s="25"/>
      <c r="E39" s="25"/>
      <c r="F39" s="25"/>
    </row>
  </sheetData>
  <mergeCells count="25">
    <mergeCell ref="A2:F2"/>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E21:F21"/>
    <mergeCell ref="E22:F22"/>
    <mergeCell ref="E23:F23"/>
    <mergeCell ref="E24:F24"/>
    <mergeCell ref="E25:F25"/>
    <mergeCell ref="E26:F26"/>
    <mergeCell ref="E27:F27"/>
    <mergeCell ref="E28:F28"/>
    <mergeCell ref="E29:F29"/>
    <mergeCell ref="A39:F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34"/>
  </cols>
  <sheetData>
    <row r="1" customFormat="false" ht="24" hidden="false" customHeight="true" outlineLevel="0" collapsed="false">
      <c r="A1" s="1" t="s">
        <v>1524</v>
      </c>
    </row>
    <row r="2" customFormat="false" ht="30" hidden="false" customHeight="true" outlineLevel="0" collapsed="false">
      <c r="A2" s="2" t="s">
        <v>1525</v>
      </c>
      <c r="B2" s="2"/>
      <c r="C2" s="2"/>
      <c r="D2" s="2"/>
      <c r="E2" s="2"/>
      <c r="F2" s="2"/>
    </row>
    <row r="4" customFormat="false" ht="30" hidden="false" customHeight="true" outlineLevel="0" collapsed="false">
      <c r="A4" s="5" t="s">
        <v>1526</v>
      </c>
      <c r="B4" s="5" t="s">
        <v>1527</v>
      </c>
      <c r="C4" s="5" t="s">
        <v>1528</v>
      </c>
      <c r="D4" s="5" t="s">
        <v>1529</v>
      </c>
      <c r="E4" s="5" t="s">
        <v>1530</v>
      </c>
      <c r="F4" s="5" t="s">
        <v>1531</v>
      </c>
    </row>
    <row r="5" customFormat="false" ht="66.75" hidden="false" customHeight="true" outlineLevel="0" collapsed="false">
      <c r="A5" s="6" t="s">
        <v>1532</v>
      </c>
      <c r="B5" s="6" t="s">
        <v>1533</v>
      </c>
      <c r="C5" s="6" t="s">
        <v>1534</v>
      </c>
      <c r="D5" s="6" t="s">
        <v>1535</v>
      </c>
      <c r="E5" s="6" t="s">
        <v>1536</v>
      </c>
      <c r="F5" s="6" t="s">
        <v>1537</v>
      </c>
    </row>
    <row r="6" customFormat="false" ht="40.5" hidden="false" customHeight="true" outlineLevel="0" collapsed="false">
      <c r="A6" s="6" t="s">
        <v>1538</v>
      </c>
      <c r="B6" s="6" t="s">
        <v>1539</v>
      </c>
      <c r="C6" s="6" t="s">
        <v>1540</v>
      </c>
      <c r="D6" s="6" t="s">
        <v>1541</v>
      </c>
      <c r="E6" s="6" t="s">
        <v>1542</v>
      </c>
      <c r="F6" s="6" t="s">
        <v>1543</v>
      </c>
    </row>
    <row r="7" customFormat="false" ht="54" hidden="false" customHeight="true" outlineLevel="0" collapsed="false">
      <c r="A7" s="6" t="s">
        <v>1544</v>
      </c>
      <c r="B7" s="6" t="s">
        <v>1545</v>
      </c>
      <c r="C7" s="6" t="s">
        <v>1546</v>
      </c>
      <c r="D7" s="6" t="s">
        <v>1547</v>
      </c>
      <c r="E7" s="6" t="s">
        <v>1548</v>
      </c>
      <c r="F7" s="6" t="s">
        <v>1549</v>
      </c>
    </row>
    <row r="8" customFormat="false" ht="54" hidden="false" customHeight="true" outlineLevel="0" collapsed="false">
      <c r="A8" s="6" t="s">
        <v>1550</v>
      </c>
      <c r="B8" s="6" t="s">
        <v>1551</v>
      </c>
      <c r="C8" s="6" t="s">
        <v>1552</v>
      </c>
      <c r="D8" s="6" t="s">
        <v>1553</v>
      </c>
      <c r="E8" s="6" t="s">
        <v>1554</v>
      </c>
      <c r="F8" s="6" t="s">
        <v>1555</v>
      </c>
    </row>
    <row r="9" customFormat="false" ht="54" hidden="false" customHeight="true" outlineLevel="0" collapsed="false">
      <c r="A9" s="6" t="s">
        <v>1556</v>
      </c>
      <c r="B9" s="6" t="s">
        <v>1557</v>
      </c>
      <c r="C9" s="6" t="s">
        <v>1558</v>
      </c>
      <c r="D9" s="6" t="s">
        <v>1559</v>
      </c>
      <c r="E9" s="6" t="s">
        <v>1560</v>
      </c>
      <c r="F9" s="6" t="s">
        <v>1561</v>
      </c>
    </row>
    <row r="10" customFormat="false" ht="40.5" hidden="false" customHeight="true" outlineLevel="0" collapsed="false">
      <c r="A10" s="6" t="s">
        <v>1562</v>
      </c>
      <c r="B10" s="6" t="s">
        <v>1563</v>
      </c>
      <c r="C10" s="6" t="s">
        <v>1564</v>
      </c>
      <c r="D10" s="6" t="s">
        <v>1565</v>
      </c>
      <c r="E10" s="6" t="s">
        <v>1566</v>
      </c>
      <c r="F10" s="6" t="s">
        <v>1567</v>
      </c>
    </row>
    <row r="11" customFormat="false" ht="40.5" hidden="false" customHeight="true" outlineLevel="0" collapsed="false">
      <c r="A11" s="6" t="s">
        <v>1568</v>
      </c>
      <c r="B11" s="6" t="s">
        <v>1569</v>
      </c>
      <c r="C11" s="6" t="s">
        <v>1570</v>
      </c>
      <c r="D11" s="6" t="s">
        <v>1571</v>
      </c>
      <c r="E11" s="6" t="s">
        <v>1572</v>
      </c>
      <c r="F11" s="6" t="s">
        <v>1573</v>
      </c>
    </row>
    <row r="12" customFormat="false" ht="40.5" hidden="false" customHeight="true" outlineLevel="0" collapsed="false">
      <c r="A12" s="6" t="s">
        <v>1574</v>
      </c>
      <c r="B12" s="6" t="s">
        <v>1575</v>
      </c>
      <c r="C12" s="6" t="s">
        <v>1576</v>
      </c>
      <c r="D12" s="6" t="s">
        <v>1577</v>
      </c>
      <c r="E12" s="6" t="s">
        <v>1578</v>
      </c>
      <c r="F12" s="6" t="s">
        <v>1579</v>
      </c>
    </row>
    <row r="13" customFormat="false" ht="40.5" hidden="false" customHeight="true" outlineLevel="0" collapsed="false">
      <c r="A13" s="6" t="s">
        <v>1580</v>
      </c>
      <c r="B13" s="6" t="s">
        <v>1581</v>
      </c>
      <c r="C13" s="6" t="s">
        <v>1582</v>
      </c>
      <c r="D13" s="6" t="s">
        <v>1583</v>
      </c>
      <c r="E13" s="6" t="s">
        <v>1584</v>
      </c>
      <c r="F13" s="6" t="s">
        <v>1585</v>
      </c>
    </row>
    <row r="15" customFormat="false" ht="19.5" hidden="false" customHeight="true" outlineLevel="0" collapsed="false">
      <c r="A15" s="3" t="s">
        <v>1586</v>
      </c>
      <c r="B15" s="4"/>
      <c r="C15" s="4"/>
      <c r="D15" s="4"/>
      <c r="E15" s="4"/>
      <c r="F15" s="4"/>
    </row>
    <row r="16" customFormat="false" ht="30" hidden="false" customHeight="true" outlineLevel="0" collapsed="false">
      <c r="A16" s="5" t="s">
        <v>1587</v>
      </c>
      <c r="B16" s="5" t="s">
        <v>122</v>
      </c>
      <c r="C16" s="5"/>
      <c r="D16" s="5"/>
      <c r="E16" s="5"/>
      <c r="F16" s="5"/>
    </row>
    <row r="17" customFormat="false" ht="16.5" hidden="false" customHeight="true" outlineLevel="0" collapsed="false">
      <c r="A17" s="6" t="s">
        <v>1527</v>
      </c>
      <c r="B17" s="6" t="s">
        <v>1588</v>
      </c>
      <c r="C17" s="6"/>
      <c r="D17" s="6"/>
      <c r="E17" s="6"/>
      <c r="F17" s="6"/>
    </row>
    <row r="18" customFormat="false" ht="16.5" hidden="false" customHeight="true" outlineLevel="0" collapsed="false">
      <c r="A18" s="6" t="s">
        <v>1528</v>
      </c>
      <c r="B18" s="6" t="s">
        <v>1589</v>
      </c>
      <c r="C18" s="6"/>
      <c r="D18" s="6"/>
      <c r="E18" s="6"/>
      <c r="F18" s="6"/>
    </row>
    <row r="19" customFormat="false" ht="16.5" hidden="false" customHeight="true" outlineLevel="0" collapsed="false">
      <c r="A19" s="6" t="s">
        <v>1529</v>
      </c>
      <c r="B19" s="6" t="s">
        <v>1590</v>
      </c>
      <c r="C19" s="6"/>
      <c r="D19" s="6"/>
      <c r="E19" s="6"/>
      <c r="F19" s="6"/>
    </row>
    <row r="20" customFormat="false" ht="16.5" hidden="false" customHeight="true" outlineLevel="0" collapsed="false">
      <c r="A20" s="6" t="s">
        <v>1530</v>
      </c>
      <c r="B20" s="6" t="s">
        <v>1591</v>
      </c>
      <c r="C20" s="6"/>
      <c r="D20" s="6"/>
      <c r="E20" s="6"/>
      <c r="F20" s="6"/>
    </row>
    <row r="21" customFormat="false" ht="16.5" hidden="false" customHeight="true" outlineLevel="0" collapsed="false">
      <c r="A21" s="6" t="s">
        <v>1531</v>
      </c>
      <c r="B21" s="6" t="s">
        <v>1592</v>
      </c>
      <c r="C21" s="6"/>
      <c r="D21" s="6"/>
      <c r="E21" s="6"/>
      <c r="F21" s="6"/>
    </row>
  </sheetData>
  <mergeCells count="7">
    <mergeCell ref="A2:F2"/>
    <mergeCell ref="B16:F16"/>
    <mergeCell ref="B17:F17"/>
    <mergeCell ref="B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30"/>
    <col collapsed="false" customWidth="true" hidden="false" outlineLevel="0" max="4" min="4" style="0" width="34"/>
    <col collapsed="false" customWidth="true" hidden="false" outlineLevel="0" max="5" min="5" style="0" width="12"/>
    <col collapsed="false" customWidth="true" hidden="false" outlineLevel="0" max="6" min="6" style="0" width="40"/>
  </cols>
  <sheetData>
    <row r="1" customFormat="false" ht="24" hidden="false" customHeight="true" outlineLevel="0" collapsed="false">
      <c r="A1" s="1" t="s">
        <v>1593</v>
      </c>
    </row>
    <row r="2" customFormat="false" ht="30" hidden="false" customHeight="true" outlineLevel="0" collapsed="false">
      <c r="A2" s="2" t="s">
        <v>1594</v>
      </c>
      <c r="B2" s="2"/>
      <c r="C2" s="2"/>
      <c r="D2" s="2"/>
      <c r="E2" s="2"/>
      <c r="F2" s="2"/>
    </row>
    <row r="4" customFormat="false" ht="19.5" hidden="false" customHeight="true" outlineLevel="0" collapsed="false">
      <c r="A4" s="3" t="s">
        <v>1595</v>
      </c>
      <c r="B4" s="4"/>
      <c r="C4" s="4"/>
      <c r="D4" s="4"/>
      <c r="E4" s="4"/>
      <c r="F4" s="4"/>
    </row>
    <row r="5" customFormat="false" ht="30" hidden="false" customHeight="true" outlineLevel="0" collapsed="false">
      <c r="A5" s="5" t="s">
        <v>1596</v>
      </c>
      <c r="B5" s="5" t="s">
        <v>1597</v>
      </c>
      <c r="C5" s="5" t="s">
        <v>1598</v>
      </c>
      <c r="D5" s="5" t="s">
        <v>1599</v>
      </c>
      <c r="E5" s="5" t="s">
        <v>1600</v>
      </c>
      <c r="F5" s="5" t="s">
        <v>17</v>
      </c>
    </row>
    <row r="6" customFormat="false" ht="105.75" hidden="false" customHeight="true" outlineLevel="0" collapsed="false">
      <c r="A6" s="6" t="s">
        <v>1601</v>
      </c>
      <c r="B6" s="6" t="s">
        <v>1602</v>
      </c>
      <c r="C6" s="6" t="s">
        <v>1603</v>
      </c>
      <c r="D6" s="6" t="s">
        <v>1604</v>
      </c>
      <c r="E6" s="7" t="s">
        <v>1605</v>
      </c>
      <c r="F6" s="6" t="s">
        <v>1606</v>
      </c>
    </row>
    <row r="7" customFormat="false" ht="54" hidden="false" customHeight="true" outlineLevel="0" collapsed="false">
      <c r="A7" s="6" t="s">
        <v>1607</v>
      </c>
      <c r="B7" s="6" t="s">
        <v>1608</v>
      </c>
      <c r="C7" s="6" t="s">
        <v>1609</v>
      </c>
      <c r="D7" s="6" t="s">
        <v>1610</v>
      </c>
      <c r="E7" s="7" t="s">
        <v>1611</v>
      </c>
      <c r="F7" s="6" t="s">
        <v>1612</v>
      </c>
    </row>
    <row r="8" customFormat="false" ht="54" hidden="false" customHeight="true" outlineLevel="0" collapsed="false">
      <c r="A8" s="6" t="s">
        <v>1613</v>
      </c>
      <c r="B8" s="6" t="s">
        <v>1614</v>
      </c>
      <c r="C8" s="6" t="s">
        <v>1615</v>
      </c>
      <c r="D8" s="6" t="s">
        <v>1616</v>
      </c>
      <c r="E8" s="7" t="s">
        <v>1605</v>
      </c>
      <c r="F8" s="6" t="s">
        <v>1617</v>
      </c>
    </row>
    <row r="9" customFormat="false" ht="79.5" hidden="false" customHeight="true" outlineLevel="0" collapsed="false">
      <c r="A9" s="6" t="s">
        <v>1618</v>
      </c>
      <c r="B9" s="6" t="s">
        <v>1619</v>
      </c>
      <c r="C9" s="6" t="s">
        <v>1620</v>
      </c>
      <c r="D9" s="6" t="s">
        <v>1621</v>
      </c>
      <c r="E9" s="7" t="s">
        <v>1605</v>
      </c>
      <c r="F9" s="6" t="s">
        <v>1622</v>
      </c>
    </row>
    <row r="10" customFormat="false" ht="105.75" hidden="false" customHeight="true" outlineLevel="0" collapsed="false">
      <c r="A10" s="6" t="s">
        <v>1623</v>
      </c>
      <c r="B10" s="6" t="s">
        <v>1624</v>
      </c>
      <c r="C10" s="6" t="s">
        <v>1625</v>
      </c>
      <c r="D10" s="6" t="s">
        <v>1626</v>
      </c>
      <c r="E10" s="7" t="s">
        <v>1605</v>
      </c>
      <c r="F10" s="6" t="s">
        <v>1627</v>
      </c>
    </row>
    <row r="11" customFormat="false" ht="54" hidden="false" customHeight="true" outlineLevel="0" collapsed="false">
      <c r="A11" s="6" t="s">
        <v>1628</v>
      </c>
      <c r="B11" s="6" t="s">
        <v>1629</v>
      </c>
      <c r="C11" s="6" t="s">
        <v>1630</v>
      </c>
      <c r="D11" s="6" t="s">
        <v>1631</v>
      </c>
      <c r="E11" s="7" t="s">
        <v>1611</v>
      </c>
      <c r="F11" s="6"/>
    </row>
    <row r="12" customFormat="false" ht="79.5" hidden="false" customHeight="true" outlineLevel="0" collapsed="false">
      <c r="A12" s="6" t="s">
        <v>1632</v>
      </c>
      <c r="B12" s="6" t="s">
        <v>1633</v>
      </c>
      <c r="C12" s="6" t="s">
        <v>1634</v>
      </c>
      <c r="D12" s="6" t="s">
        <v>1635</v>
      </c>
      <c r="E12" s="7" t="s">
        <v>1605</v>
      </c>
      <c r="F12" s="6" t="s">
        <v>1636</v>
      </c>
    </row>
    <row r="13" customFormat="false" ht="54" hidden="false" customHeight="true" outlineLevel="0" collapsed="false">
      <c r="A13" s="6" t="s">
        <v>1637</v>
      </c>
      <c r="B13" s="6" t="s">
        <v>1638</v>
      </c>
      <c r="C13" s="6" t="s">
        <v>1639</v>
      </c>
      <c r="D13" s="6" t="s">
        <v>1640</v>
      </c>
      <c r="E13" s="7" t="s">
        <v>1605</v>
      </c>
      <c r="F13" s="6"/>
    </row>
    <row r="14" customFormat="false" ht="54" hidden="false" customHeight="true" outlineLevel="0" collapsed="false">
      <c r="A14" s="6" t="s">
        <v>1641</v>
      </c>
      <c r="B14" s="6" t="s">
        <v>1642</v>
      </c>
      <c r="C14" s="6" t="s">
        <v>1643</v>
      </c>
      <c r="D14" s="6" t="s">
        <v>1644</v>
      </c>
      <c r="E14" s="7" t="s">
        <v>1611</v>
      </c>
      <c r="F14" s="6" t="s">
        <v>1645</v>
      </c>
    </row>
    <row r="15" customFormat="false" ht="93" hidden="false" customHeight="true" outlineLevel="0" collapsed="false">
      <c r="A15" s="6" t="s">
        <v>1646</v>
      </c>
      <c r="B15" s="6" t="s">
        <v>1647</v>
      </c>
      <c r="C15" s="6" t="s">
        <v>1648</v>
      </c>
      <c r="D15" s="6" t="s">
        <v>1649</v>
      </c>
      <c r="E15" s="7" t="s">
        <v>1650</v>
      </c>
      <c r="F15" s="6" t="s">
        <v>1651</v>
      </c>
    </row>
    <row r="17" customFormat="false" ht="19.5" hidden="false" customHeight="true" outlineLevel="0" collapsed="false">
      <c r="A17" s="3" t="s">
        <v>1652</v>
      </c>
      <c r="B17" s="4"/>
      <c r="C17" s="4"/>
      <c r="D17" s="4"/>
      <c r="E17" s="4"/>
      <c r="F17" s="4"/>
    </row>
    <row r="18" customFormat="false" ht="30" hidden="false" customHeight="true" outlineLevel="0" collapsed="false">
      <c r="A18" s="5" t="s">
        <v>1653</v>
      </c>
      <c r="B18" s="5" t="s">
        <v>1597</v>
      </c>
      <c r="C18" s="5" t="s">
        <v>1654</v>
      </c>
      <c r="D18" s="5" t="s">
        <v>1655</v>
      </c>
      <c r="E18" s="5" t="s">
        <v>1600</v>
      </c>
      <c r="F18" s="5"/>
    </row>
    <row r="19" customFormat="false" ht="81.75" hidden="false" customHeight="true" outlineLevel="0" collapsed="false">
      <c r="A19" s="6" t="s">
        <v>1656</v>
      </c>
      <c r="B19" s="6" t="s">
        <v>1657</v>
      </c>
      <c r="C19" s="6" t="s">
        <v>1658</v>
      </c>
      <c r="D19" s="6" t="s">
        <v>1659</v>
      </c>
      <c r="E19" s="7" t="s">
        <v>1611</v>
      </c>
      <c r="F19" s="7"/>
    </row>
    <row r="20" customFormat="false" ht="30" hidden="false" customHeight="true" outlineLevel="0" collapsed="false">
      <c r="A20" s="6" t="s">
        <v>1660</v>
      </c>
      <c r="B20" s="6" t="s">
        <v>1661</v>
      </c>
      <c r="C20" s="6" t="s">
        <v>1662</v>
      </c>
      <c r="D20" s="6" t="s">
        <v>1663</v>
      </c>
      <c r="E20" s="7" t="s">
        <v>1611</v>
      </c>
      <c r="F20" s="7"/>
    </row>
    <row r="21" customFormat="false" ht="55.5" hidden="false" customHeight="true" outlineLevel="0" collapsed="false">
      <c r="A21" s="6" t="s">
        <v>1664</v>
      </c>
      <c r="B21" s="6" t="s">
        <v>1665</v>
      </c>
      <c r="C21" s="6" t="s">
        <v>1666</v>
      </c>
      <c r="D21" s="6" t="s">
        <v>1667</v>
      </c>
      <c r="E21" s="7" t="s">
        <v>1611</v>
      </c>
      <c r="F21" s="7"/>
    </row>
    <row r="22" customFormat="false" ht="55.5" hidden="false" customHeight="true" outlineLevel="0" collapsed="false">
      <c r="A22" s="6" t="s">
        <v>1668</v>
      </c>
      <c r="B22" s="6" t="s">
        <v>1669</v>
      </c>
      <c r="C22" s="6" t="s">
        <v>1670</v>
      </c>
      <c r="D22" s="6" t="s">
        <v>1671</v>
      </c>
      <c r="E22" s="7" t="s">
        <v>1672</v>
      </c>
      <c r="F22" s="7"/>
    </row>
    <row r="23" customFormat="false" ht="42.75" hidden="false" customHeight="true" outlineLevel="0" collapsed="false">
      <c r="A23" s="6" t="s">
        <v>1673</v>
      </c>
      <c r="B23" s="6" t="s">
        <v>1674</v>
      </c>
      <c r="C23" s="6" t="s">
        <v>1675</v>
      </c>
      <c r="D23" s="6" t="s">
        <v>1676</v>
      </c>
      <c r="E23" s="7" t="s">
        <v>1611</v>
      </c>
      <c r="F23" s="7"/>
    </row>
    <row r="24" customFormat="false" ht="69" hidden="false" customHeight="true" outlineLevel="0" collapsed="false">
      <c r="A24" s="6" t="s">
        <v>1677</v>
      </c>
      <c r="B24" s="6" t="s">
        <v>1678</v>
      </c>
      <c r="C24" s="6" t="s">
        <v>1679</v>
      </c>
      <c r="D24" s="6" t="s">
        <v>1680</v>
      </c>
      <c r="E24" s="7" t="s">
        <v>1605</v>
      </c>
      <c r="F24" s="7"/>
    </row>
    <row r="26" customFormat="false" ht="19.5" hidden="false" customHeight="true" outlineLevel="0" collapsed="false">
      <c r="A26" s="3" t="s">
        <v>1681</v>
      </c>
      <c r="B26" s="4"/>
      <c r="C26" s="4"/>
      <c r="D26" s="4"/>
      <c r="E26" s="4"/>
      <c r="F26" s="4"/>
    </row>
    <row r="27" customFormat="false" ht="30" hidden="false" customHeight="true" outlineLevel="0" collapsed="false">
      <c r="A27" s="5" t="s">
        <v>1682</v>
      </c>
      <c r="B27" s="5" t="s">
        <v>1683</v>
      </c>
      <c r="C27" s="5" t="s">
        <v>1684</v>
      </c>
      <c r="D27" s="5"/>
      <c r="E27" s="5"/>
      <c r="F27" s="5"/>
    </row>
    <row r="28" customFormat="false" ht="94.5" hidden="false" customHeight="true" outlineLevel="0" collapsed="false">
      <c r="A28" s="6" t="s">
        <v>1685</v>
      </c>
      <c r="B28" s="6" t="s">
        <v>1686</v>
      </c>
      <c r="C28" s="6" t="s">
        <v>1687</v>
      </c>
      <c r="D28" s="6"/>
      <c r="E28" s="6"/>
      <c r="F28" s="6"/>
    </row>
    <row r="29" customFormat="false" ht="55.5" hidden="false" customHeight="true" outlineLevel="0" collapsed="false">
      <c r="A29" s="6" t="s">
        <v>1688</v>
      </c>
      <c r="B29" s="6" t="s">
        <v>1689</v>
      </c>
      <c r="C29" s="6" t="s">
        <v>1690</v>
      </c>
      <c r="D29" s="6"/>
      <c r="E29" s="6"/>
      <c r="F29" s="6"/>
    </row>
    <row r="30" customFormat="false" ht="55.5" hidden="false" customHeight="true" outlineLevel="0" collapsed="false">
      <c r="A30" s="6" t="s">
        <v>1691</v>
      </c>
      <c r="B30" s="6" t="s">
        <v>1692</v>
      </c>
      <c r="C30" s="6" t="s">
        <v>1693</v>
      </c>
      <c r="D30" s="6"/>
      <c r="E30" s="6"/>
      <c r="F30" s="6"/>
    </row>
    <row r="31" customFormat="false" ht="42.75" hidden="false" customHeight="true" outlineLevel="0" collapsed="false">
      <c r="A31" s="6" t="s">
        <v>1694</v>
      </c>
      <c r="B31" s="6" t="s">
        <v>1695</v>
      </c>
      <c r="C31" s="6" t="s">
        <v>1696</v>
      </c>
      <c r="D31" s="6"/>
      <c r="E31" s="6"/>
      <c r="F31" s="6"/>
    </row>
    <row r="32" customFormat="false" ht="55.5" hidden="false" customHeight="true" outlineLevel="0" collapsed="false">
      <c r="A32" s="6" t="s">
        <v>1697</v>
      </c>
      <c r="B32" s="6" t="s">
        <v>1698</v>
      </c>
      <c r="C32" s="6" t="s">
        <v>1699</v>
      </c>
      <c r="D32" s="6"/>
      <c r="E32" s="6"/>
      <c r="F32" s="6"/>
    </row>
    <row r="33" customFormat="false" ht="81.75" hidden="false" customHeight="true" outlineLevel="0" collapsed="false">
      <c r="A33" s="6" t="s">
        <v>1700</v>
      </c>
      <c r="B33" s="6" t="s">
        <v>1701</v>
      </c>
      <c r="C33" s="6" t="s">
        <v>1702</v>
      </c>
      <c r="D33" s="6"/>
      <c r="E33" s="6"/>
      <c r="F33" s="6"/>
    </row>
  </sheetData>
  <mergeCells count="15">
    <mergeCell ref="A2:F2"/>
    <mergeCell ref="E18:F18"/>
    <mergeCell ref="E19:F19"/>
    <mergeCell ref="E20:F20"/>
    <mergeCell ref="E21:F21"/>
    <mergeCell ref="E22:F22"/>
    <mergeCell ref="E23:F23"/>
    <mergeCell ref="E24:F24"/>
    <mergeCell ref="C27:F27"/>
    <mergeCell ref="C28:F28"/>
    <mergeCell ref="C29:F29"/>
    <mergeCell ref="C30:F30"/>
    <mergeCell ref="C31:F31"/>
    <mergeCell ref="C32:F32"/>
    <mergeCell ref="C33:F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5" min="3" style="0" width="40"/>
    <col collapsed="false" customWidth="true" hidden="false" outlineLevel="0" max="6" min="6" style="0" width="18"/>
  </cols>
  <sheetData>
    <row r="1" customFormat="false" ht="24" hidden="false" customHeight="true" outlineLevel="0" collapsed="false">
      <c r="A1" s="1" t="s">
        <v>1703</v>
      </c>
    </row>
    <row r="2" customFormat="false" ht="30" hidden="false" customHeight="true" outlineLevel="0" collapsed="false">
      <c r="A2" s="2" t="s">
        <v>1704</v>
      </c>
      <c r="B2" s="2"/>
      <c r="C2" s="2"/>
      <c r="D2" s="2"/>
      <c r="E2" s="2"/>
      <c r="F2" s="2"/>
    </row>
    <row r="4" customFormat="false" ht="19.5" hidden="false" customHeight="true" outlineLevel="0" collapsed="false">
      <c r="A4" s="3" t="s">
        <v>1705</v>
      </c>
      <c r="B4" s="4"/>
      <c r="C4" s="4"/>
      <c r="D4" s="4"/>
      <c r="E4" s="4"/>
      <c r="F4" s="4"/>
    </row>
    <row r="5" customFormat="false" ht="30" hidden="false" customHeight="true" outlineLevel="0" collapsed="false">
      <c r="A5" s="5" t="s">
        <v>3</v>
      </c>
      <c r="B5" s="5" t="s">
        <v>1706</v>
      </c>
      <c r="C5" s="5"/>
      <c r="D5" s="5"/>
      <c r="E5" s="5"/>
      <c r="F5" s="5"/>
    </row>
    <row r="6" customFormat="false" ht="30" hidden="false" customHeight="true" outlineLevel="0" collapsed="false">
      <c r="A6" s="6" t="s">
        <v>1707</v>
      </c>
      <c r="B6" s="6" t="s">
        <v>1708</v>
      </c>
      <c r="C6" s="6"/>
      <c r="D6" s="6"/>
      <c r="E6" s="6"/>
      <c r="F6" s="6"/>
    </row>
    <row r="7" customFormat="false" ht="30" hidden="false" customHeight="true" outlineLevel="0" collapsed="false">
      <c r="A7" s="6" t="s">
        <v>1709</v>
      </c>
      <c r="B7" s="6" t="s">
        <v>1710</v>
      </c>
      <c r="C7" s="6"/>
      <c r="D7" s="6"/>
      <c r="E7" s="6"/>
      <c r="F7" s="6"/>
    </row>
    <row r="8" customFormat="false" ht="16.5" hidden="false" customHeight="true" outlineLevel="0" collapsed="false">
      <c r="A8" s="6" t="s">
        <v>1711</v>
      </c>
      <c r="B8" s="6" t="s">
        <v>1712</v>
      </c>
      <c r="C8" s="6"/>
      <c r="D8" s="6"/>
      <c r="E8" s="6"/>
      <c r="F8" s="6"/>
    </row>
    <row r="9" customFormat="false" ht="16.5" hidden="false" customHeight="true" outlineLevel="0" collapsed="false">
      <c r="A9" s="6" t="s">
        <v>1713</v>
      </c>
      <c r="B9" s="6" t="s">
        <v>1714</v>
      </c>
      <c r="C9" s="6"/>
      <c r="D9" s="6"/>
      <c r="E9" s="6"/>
      <c r="F9" s="6"/>
    </row>
    <row r="10" customFormat="false" ht="30" hidden="false" customHeight="true" outlineLevel="0" collapsed="false">
      <c r="A10" s="6" t="s">
        <v>1715</v>
      </c>
      <c r="B10" s="6" t="s">
        <v>1716</v>
      </c>
      <c r="C10" s="6"/>
      <c r="D10" s="6"/>
      <c r="E10" s="6"/>
      <c r="F10" s="6"/>
    </row>
    <row r="11" customFormat="false" ht="30" hidden="false" customHeight="true" outlineLevel="0" collapsed="false">
      <c r="A11" s="6" t="s">
        <v>1717</v>
      </c>
      <c r="B11" s="6" t="s">
        <v>1718</v>
      </c>
      <c r="C11" s="6"/>
      <c r="D11" s="6"/>
      <c r="E11" s="6"/>
      <c r="F11" s="6"/>
    </row>
    <row r="12" customFormat="false" ht="30" hidden="false" customHeight="true" outlineLevel="0" collapsed="false">
      <c r="A12" s="6" t="s">
        <v>1600</v>
      </c>
      <c r="B12" s="6" t="s">
        <v>1719</v>
      </c>
      <c r="C12" s="6"/>
      <c r="D12" s="6"/>
      <c r="E12" s="6"/>
      <c r="F12" s="6"/>
    </row>
    <row r="14" customFormat="false" ht="19.5" hidden="false" customHeight="true" outlineLevel="0" collapsed="false">
      <c r="A14" s="3" t="s">
        <v>1720</v>
      </c>
      <c r="B14" s="4"/>
      <c r="C14" s="4"/>
      <c r="D14" s="4"/>
      <c r="E14" s="4"/>
      <c r="F14" s="4"/>
    </row>
    <row r="15" customFormat="false" ht="30" hidden="false" customHeight="true" outlineLevel="0" collapsed="false">
      <c r="A15" s="5" t="s">
        <v>1721</v>
      </c>
      <c r="B15" s="5" t="s">
        <v>1722</v>
      </c>
      <c r="C15" s="5" t="s">
        <v>1723</v>
      </c>
      <c r="D15" s="5" t="s">
        <v>1724</v>
      </c>
      <c r="E15" s="5" t="s">
        <v>1725</v>
      </c>
      <c r="F15" s="5" t="s">
        <v>1726</v>
      </c>
    </row>
    <row r="16" customFormat="false" ht="54" hidden="false" customHeight="true" outlineLevel="0" collapsed="false">
      <c r="A16" s="6" t="s">
        <v>1727</v>
      </c>
      <c r="B16" s="6" t="s">
        <v>1728</v>
      </c>
      <c r="C16" s="6" t="s">
        <v>1729</v>
      </c>
      <c r="D16" s="6" t="s">
        <v>1730</v>
      </c>
      <c r="E16" s="6" t="s">
        <v>1731</v>
      </c>
      <c r="F16" s="6" t="s">
        <v>1732</v>
      </c>
    </row>
    <row r="17" customFormat="false" ht="54" hidden="false" customHeight="true" outlineLevel="0" collapsed="false">
      <c r="A17" s="6" t="s">
        <v>1733</v>
      </c>
      <c r="B17" s="6" t="s">
        <v>1734</v>
      </c>
      <c r="C17" s="6" t="s">
        <v>1735</v>
      </c>
      <c r="D17" s="6" t="s">
        <v>1736</v>
      </c>
      <c r="E17" s="6" t="s">
        <v>1737</v>
      </c>
      <c r="F17" s="6" t="s">
        <v>1738</v>
      </c>
    </row>
    <row r="18" customFormat="false" ht="54" hidden="false" customHeight="true" outlineLevel="0" collapsed="false">
      <c r="A18" s="6" t="s">
        <v>1739</v>
      </c>
      <c r="B18" s="6" t="s">
        <v>1740</v>
      </c>
      <c r="C18" s="6" t="s">
        <v>1741</v>
      </c>
      <c r="D18" s="6" t="s">
        <v>1742</v>
      </c>
      <c r="E18" s="6" t="s">
        <v>1743</v>
      </c>
      <c r="F18" s="6" t="s">
        <v>1744</v>
      </c>
    </row>
    <row r="19" customFormat="false" ht="54" hidden="false" customHeight="true" outlineLevel="0" collapsed="false">
      <c r="A19" s="6" t="s">
        <v>1745</v>
      </c>
      <c r="B19" s="6" t="s">
        <v>1746</v>
      </c>
      <c r="C19" s="6" t="s">
        <v>1747</v>
      </c>
      <c r="D19" s="6" t="s">
        <v>1748</v>
      </c>
      <c r="E19" s="6" t="s">
        <v>1749</v>
      </c>
      <c r="F19" s="6" t="s">
        <v>1750</v>
      </c>
    </row>
    <row r="20" customFormat="false" ht="40.5" hidden="false" customHeight="true" outlineLevel="0" collapsed="false">
      <c r="A20" s="6" t="s">
        <v>1751</v>
      </c>
      <c r="B20" s="6" t="s">
        <v>1752</v>
      </c>
      <c r="C20" s="6" t="s">
        <v>1753</v>
      </c>
      <c r="D20" s="6" t="s">
        <v>1754</v>
      </c>
      <c r="E20" s="6" t="s">
        <v>1755</v>
      </c>
      <c r="F20" s="6" t="s">
        <v>1756</v>
      </c>
    </row>
    <row r="21" customFormat="false" ht="54" hidden="false" customHeight="true" outlineLevel="0" collapsed="false">
      <c r="A21" s="6" t="s">
        <v>1757</v>
      </c>
      <c r="B21" s="6" t="s">
        <v>1758</v>
      </c>
      <c r="C21" s="6" t="s">
        <v>1759</v>
      </c>
      <c r="D21" s="6" t="s">
        <v>1760</v>
      </c>
      <c r="E21" s="6" t="s">
        <v>1761</v>
      </c>
      <c r="F21" s="6" t="s">
        <v>1762</v>
      </c>
    </row>
    <row r="23" customFormat="false" ht="19.5" hidden="false" customHeight="true" outlineLevel="0" collapsed="false">
      <c r="A23" s="3" t="s">
        <v>1763</v>
      </c>
      <c r="B23" s="4"/>
      <c r="C23" s="4"/>
      <c r="D23" s="4"/>
      <c r="E23" s="4"/>
      <c r="F23" s="4"/>
    </row>
    <row r="24" customFormat="false" ht="30" hidden="false" customHeight="true" outlineLevel="0" collapsed="false">
      <c r="A24" s="5" t="s">
        <v>1721</v>
      </c>
      <c r="B24" s="5" t="s">
        <v>1722</v>
      </c>
      <c r="C24" s="5" t="s">
        <v>1723</v>
      </c>
      <c r="D24" s="5" t="s">
        <v>1724</v>
      </c>
      <c r="E24" s="5" t="s">
        <v>1725</v>
      </c>
      <c r="F24" s="5" t="s">
        <v>1726</v>
      </c>
    </row>
    <row r="25" customFormat="false" ht="66.75" hidden="false" customHeight="true" outlineLevel="0" collapsed="false">
      <c r="A25" s="6" t="s">
        <v>1764</v>
      </c>
      <c r="B25" s="6" t="s">
        <v>1765</v>
      </c>
      <c r="C25" s="6" t="s">
        <v>1766</v>
      </c>
      <c r="D25" s="6" t="s">
        <v>1767</v>
      </c>
      <c r="E25" s="6" t="s">
        <v>1768</v>
      </c>
      <c r="F25" s="6" t="s">
        <v>1769</v>
      </c>
    </row>
    <row r="26" customFormat="false" ht="54" hidden="false" customHeight="true" outlineLevel="0" collapsed="false">
      <c r="A26" s="6" t="s">
        <v>1770</v>
      </c>
      <c r="B26" s="6" t="s">
        <v>1771</v>
      </c>
      <c r="C26" s="6" t="s">
        <v>1772</v>
      </c>
      <c r="D26" s="6" t="s">
        <v>1773</v>
      </c>
      <c r="E26" s="6" t="s">
        <v>1774</v>
      </c>
      <c r="F26" s="6" t="s">
        <v>1744</v>
      </c>
    </row>
    <row r="27" customFormat="false" ht="66.75" hidden="false" customHeight="true" outlineLevel="0" collapsed="false">
      <c r="A27" s="6" t="s">
        <v>1775</v>
      </c>
      <c r="B27" s="6" t="s">
        <v>1776</v>
      </c>
      <c r="C27" s="6" t="s">
        <v>1777</v>
      </c>
      <c r="D27" s="6" t="s">
        <v>1778</v>
      </c>
      <c r="E27" s="6" t="s">
        <v>1779</v>
      </c>
      <c r="F27" s="6" t="s">
        <v>1780</v>
      </c>
    </row>
    <row r="28" customFormat="false" ht="40.5" hidden="false" customHeight="true" outlineLevel="0" collapsed="false">
      <c r="A28" s="6" t="s">
        <v>1781</v>
      </c>
      <c r="B28" s="6" t="s">
        <v>1782</v>
      </c>
      <c r="C28" s="6" t="s">
        <v>1783</v>
      </c>
      <c r="D28" s="6" t="s">
        <v>1784</v>
      </c>
      <c r="E28" s="6" t="s">
        <v>1785</v>
      </c>
      <c r="F28" s="6" t="s">
        <v>1786</v>
      </c>
    </row>
    <row r="29" customFormat="false" ht="40.5" hidden="false" customHeight="true" outlineLevel="0" collapsed="false">
      <c r="A29" s="6" t="s">
        <v>1787</v>
      </c>
      <c r="B29" s="6" t="s">
        <v>1788</v>
      </c>
      <c r="C29" s="6" t="s">
        <v>1789</v>
      </c>
      <c r="D29" s="6" t="s">
        <v>1790</v>
      </c>
      <c r="E29" s="6" t="s">
        <v>1791</v>
      </c>
      <c r="F29" s="6" t="s">
        <v>1792</v>
      </c>
    </row>
    <row r="30" customFormat="false" ht="93" hidden="false" customHeight="true" outlineLevel="0" collapsed="false">
      <c r="A30" s="6" t="s">
        <v>1793</v>
      </c>
      <c r="B30" s="6" t="s">
        <v>1794</v>
      </c>
      <c r="C30" s="6" t="s">
        <v>1795</v>
      </c>
      <c r="D30" s="6" t="s">
        <v>1796</v>
      </c>
      <c r="E30" s="6" t="s">
        <v>1797</v>
      </c>
      <c r="F30" s="6" t="s">
        <v>1798</v>
      </c>
    </row>
    <row r="31" customFormat="false" ht="54" hidden="false" customHeight="true" outlineLevel="0" collapsed="false">
      <c r="A31" s="6" t="s">
        <v>1799</v>
      </c>
      <c r="B31" s="6" t="s">
        <v>1800</v>
      </c>
      <c r="C31" s="6" t="s">
        <v>1801</v>
      </c>
      <c r="D31" s="6" t="s">
        <v>1802</v>
      </c>
      <c r="E31" s="6" t="s">
        <v>1803</v>
      </c>
      <c r="F31" s="6" t="s">
        <v>1804</v>
      </c>
    </row>
    <row r="33" customFormat="false" ht="19.5" hidden="false" customHeight="true" outlineLevel="0" collapsed="false">
      <c r="A33" s="3" t="s">
        <v>1805</v>
      </c>
      <c r="B33" s="4"/>
      <c r="C33" s="4"/>
      <c r="D33" s="4"/>
      <c r="E33" s="4"/>
      <c r="F33" s="4"/>
    </row>
    <row r="34" customFormat="false" ht="30" hidden="false" customHeight="true" outlineLevel="0" collapsed="false">
      <c r="A34" s="5" t="s">
        <v>1721</v>
      </c>
      <c r="B34" s="5" t="s">
        <v>1722</v>
      </c>
      <c r="C34" s="5" t="s">
        <v>1723</v>
      </c>
      <c r="D34" s="5" t="s">
        <v>1724</v>
      </c>
      <c r="E34" s="5" t="s">
        <v>1725</v>
      </c>
      <c r="F34" s="5" t="s">
        <v>1726</v>
      </c>
    </row>
    <row r="35" customFormat="false" ht="54" hidden="false" customHeight="true" outlineLevel="0" collapsed="false">
      <c r="A35" s="6" t="s">
        <v>1806</v>
      </c>
      <c r="B35" s="6" t="s">
        <v>1807</v>
      </c>
      <c r="C35" s="6" t="s">
        <v>1808</v>
      </c>
      <c r="D35" s="6" t="s">
        <v>1809</v>
      </c>
      <c r="E35" s="6" t="s">
        <v>1810</v>
      </c>
      <c r="F35" s="6" t="s">
        <v>1811</v>
      </c>
    </row>
    <row r="36" customFormat="false" ht="40.5" hidden="false" customHeight="true" outlineLevel="0" collapsed="false">
      <c r="A36" s="6" t="s">
        <v>1812</v>
      </c>
      <c r="B36" s="6" t="s">
        <v>1813</v>
      </c>
      <c r="C36" s="6" t="s">
        <v>1814</v>
      </c>
      <c r="D36" s="6" t="s">
        <v>1815</v>
      </c>
      <c r="E36" s="6" t="s">
        <v>1816</v>
      </c>
      <c r="F36" s="6" t="s">
        <v>1817</v>
      </c>
    </row>
    <row r="37" customFormat="false" ht="54" hidden="false" customHeight="true" outlineLevel="0" collapsed="false">
      <c r="A37" s="6" t="s">
        <v>1818</v>
      </c>
      <c r="B37" s="6" t="s">
        <v>1819</v>
      </c>
      <c r="C37" s="6" t="s">
        <v>1820</v>
      </c>
      <c r="D37" s="6" t="s">
        <v>1821</v>
      </c>
      <c r="E37" s="6" t="s">
        <v>1822</v>
      </c>
      <c r="F37" s="6" t="s">
        <v>1823</v>
      </c>
    </row>
    <row r="38" customFormat="false" ht="54" hidden="false" customHeight="true" outlineLevel="0" collapsed="false">
      <c r="A38" s="6" t="s">
        <v>1824</v>
      </c>
      <c r="B38" s="6" t="s">
        <v>1825</v>
      </c>
      <c r="C38" s="6" t="s">
        <v>1826</v>
      </c>
      <c r="D38" s="6" t="s">
        <v>1827</v>
      </c>
      <c r="E38" s="6" t="s">
        <v>1828</v>
      </c>
      <c r="F38" s="6" t="s">
        <v>1829</v>
      </c>
    </row>
    <row r="39" customFormat="false" ht="54" hidden="false" customHeight="true" outlineLevel="0" collapsed="false">
      <c r="A39" s="6" t="s">
        <v>1830</v>
      </c>
      <c r="B39" s="6" t="s">
        <v>1831</v>
      </c>
      <c r="C39" s="6" t="s">
        <v>1832</v>
      </c>
      <c r="D39" s="6" t="s">
        <v>1833</v>
      </c>
      <c r="E39" s="6" t="s">
        <v>1834</v>
      </c>
      <c r="F39" s="6" t="s">
        <v>1835</v>
      </c>
    </row>
    <row r="40" customFormat="false" ht="66.75" hidden="false" customHeight="true" outlineLevel="0" collapsed="false">
      <c r="A40" s="6" t="s">
        <v>1836</v>
      </c>
      <c r="B40" s="6" t="s">
        <v>1837</v>
      </c>
      <c r="C40" s="6" t="s">
        <v>1838</v>
      </c>
      <c r="D40" s="6" t="s">
        <v>1839</v>
      </c>
      <c r="E40" s="6" t="s">
        <v>1840</v>
      </c>
      <c r="F40" s="6" t="s">
        <v>1841</v>
      </c>
    </row>
    <row r="41" customFormat="false" ht="54" hidden="false" customHeight="true" outlineLevel="0" collapsed="false">
      <c r="A41" s="6" t="s">
        <v>1842</v>
      </c>
      <c r="B41" s="6" t="s">
        <v>1843</v>
      </c>
      <c r="C41" s="6" t="s">
        <v>1844</v>
      </c>
      <c r="D41" s="6" t="s">
        <v>1845</v>
      </c>
      <c r="E41" s="6" t="s">
        <v>1846</v>
      </c>
      <c r="F41" s="6" t="s">
        <v>1847</v>
      </c>
    </row>
    <row r="42" customFormat="false" ht="40.5" hidden="false" customHeight="true" outlineLevel="0" collapsed="false">
      <c r="A42" s="6" t="s">
        <v>1848</v>
      </c>
      <c r="B42" s="6" t="s">
        <v>1849</v>
      </c>
      <c r="C42" s="6" t="s">
        <v>1850</v>
      </c>
      <c r="D42" s="6" t="s">
        <v>1851</v>
      </c>
      <c r="E42" s="6" t="s">
        <v>1852</v>
      </c>
      <c r="F42" s="6" t="s">
        <v>1853</v>
      </c>
    </row>
    <row r="43" customFormat="false" ht="54" hidden="false" customHeight="true" outlineLevel="0" collapsed="false">
      <c r="A43" s="6" t="s">
        <v>1854</v>
      </c>
      <c r="B43" s="6" t="s">
        <v>1855</v>
      </c>
      <c r="C43" s="6" t="s">
        <v>1856</v>
      </c>
      <c r="D43" s="6" t="s">
        <v>1857</v>
      </c>
      <c r="E43" s="6" t="s">
        <v>1858</v>
      </c>
      <c r="F43" s="6" t="s">
        <v>1859</v>
      </c>
    </row>
    <row r="45" customFormat="false" ht="39" hidden="false" customHeight="true" outlineLevel="0" collapsed="false">
      <c r="A45" s="25" t="s">
        <v>1860</v>
      </c>
      <c r="B45" s="25"/>
      <c r="C45" s="25"/>
      <c r="D45" s="25"/>
      <c r="E45" s="25"/>
      <c r="F45" s="25"/>
    </row>
  </sheetData>
  <mergeCells count="10">
    <mergeCell ref="A2:F2"/>
    <mergeCell ref="B5:F5"/>
    <mergeCell ref="B6:F6"/>
    <mergeCell ref="B7:F7"/>
    <mergeCell ref="B8:F8"/>
    <mergeCell ref="B9:F9"/>
    <mergeCell ref="B10:F10"/>
    <mergeCell ref="B11:F11"/>
    <mergeCell ref="B12:F12"/>
    <mergeCell ref="A45:F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D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44"/>
    <col collapsed="false" customWidth="true" hidden="false" outlineLevel="0" max="4" min="4" style="0" width="30"/>
  </cols>
  <sheetData>
    <row r="1" customFormat="false" ht="24" hidden="false" customHeight="true" outlineLevel="0" collapsed="false">
      <c r="A1" s="1" t="s">
        <v>1861</v>
      </c>
    </row>
    <row r="2" customFormat="false" ht="30" hidden="false" customHeight="true" outlineLevel="0" collapsed="false">
      <c r="A2" s="2" t="s">
        <v>1862</v>
      </c>
      <c r="B2" s="2"/>
      <c r="C2" s="2"/>
      <c r="D2" s="2"/>
    </row>
    <row r="4" customFormat="false" ht="19.5" hidden="false" customHeight="true" outlineLevel="0" collapsed="false">
      <c r="A4" s="3" t="s">
        <v>1863</v>
      </c>
      <c r="B4" s="4"/>
      <c r="C4" s="4"/>
      <c r="D4" s="4"/>
    </row>
    <row r="5" customFormat="false" ht="30" hidden="false" customHeight="true" outlineLevel="0" collapsed="false">
      <c r="A5" s="5" t="s">
        <v>1089</v>
      </c>
      <c r="B5" s="5" t="s">
        <v>1424</v>
      </c>
      <c r="C5" s="5" t="s">
        <v>156</v>
      </c>
      <c r="D5" s="5" t="s">
        <v>17</v>
      </c>
    </row>
    <row r="6" customFormat="false" ht="54" hidden="false" customHeight="true" outlineLevel="0" collapsed="false">
      <c r="A6" s="6" t="s">
        <v>1864</v>
      </c>
      <c r="B6" s="6" t="s">
        <v>1865</v>
      </c>
      <c r="C6" s="6" t="s">
        <v>1866</v>
      </c>
      <c r="D6" s="6" t="s">
        <v>1867</v>
      </c>
    </row>
    <row r="7" customFormat="false" ht="40.5" hidden="false" customHeight="true" outlineLevel="0" collapsed="false">
      <c r="A7" s="6" t="s">
        <v>1868</v>
      </c>
      <c r="B7" s="6" t="s">
        <v>1869</v>
      </c>
      <c r="C7" s="6" t="s">
        <v>1870</v>
      </c>
      <c r="D7" s="6"/>
    </row>
    <row r="8" customFormat="false" ht="40.5" hidden="false" customHeight="true" outlineLevel="0" collapsed="false">
      <c r="A8" s="6" t="s">
        <v>1871</v>
      </c>
      <c r="B8" s="6" t="s">
        <v>1872</v>
      </c>
      <c r="C8" s="6" t="s">
        <v>1873</v>
      </c>
      <c r="D8" s="6"/>
    </row>
    <row r="9" customFormat="false" ht="40.5" hidden="false" customHeight="true" outlineLevel="0" collapsed="false">
      <c r="A9" s="6" t="s">
        <v>1874</v>
      </c>
      <c r="B9" s="6" t="s">
        <v>1875</v>
      </c>
      <c r="C9" s="6" t="s">
        <v>1876</v>
      </c>
      <c r="D9" s="6" t="s">
        <v>1877</v>
      </c>
    </row>
    <row r="11" customFormat="false" ht="19.5" hidden="false" customHeight="true" outlineLevel="0" collapsed="false">
      <c r="A11" s="3" t="s">
        <v>1878</v>
      </c>
      <c r="B11" s="4"/>
      <c r="C11" s="4"/>
      <c r="D11" s="4"/>
    </row>
    <row r="12" customFormat="false" ht="30" hidden="false" customHeight="true" outlineLevel="0" collapsed="false">
      <c r="A12" s="5" t="s">
        <v>1879</v>
      </c>
      <c r="B12" s="5" t="s">
        <v>1880</v>
      </c>
      <c r="C12" s="5" t="s">
        <v>1881</v>
      </c>
      <c r="D12" s="5"/>
    </row>
    <row r="13" customFormat="false" ht="42.75" hidden="false" customHeight="true" outlineLevel="0" collapsed="false">
      <c r="A13" s="6" t="s">
        <v>1882</v>
      </c>
      <c r="B13" s="6" t="s">
        <v>1883</v>
      </c>
      <c r="C13" s="6" t="s">
        <v>1884</v>
      </c>
      <c r="D13" s="6"/>
    </row>
    <row r="14" customFormat="false" ht="30" hidden="false" customHeight="true" outlineLevel="0" collapsed="false">
      <c r="A14" s="6" t="s">
        <v>1885</v>
      </c>
      <c r="B14" s="6" t="s">
        <v>1886</v>
      </c>
      <c r="C14" s="6" t="s">
        <v>1887</v>
      </c>
      <c r="D14" s="6"/>
    </row>
    <row r="15" customFormat="false" ht="30" hidden="false" customHeight="true" outlineLevel="0" collapsed="false">
      <c r="A15" s="6" t="s">
        <v>535</v>
      </c>
      <c r="B15" s="6" t="s">
        <v>1888</v>
      </c>
      <c r="C15" s="6" t="s">
        <v>1889</v>
      </c>
      <c r="D15" s="6"/>
    </row>
    <row r="16" customFormat="false" ht="42.75" hidden="false" customHeight="true" outlineLevel="0" collapsed="false">
      <c r="A16" s="6" t="s">
        <v>1890</v>
      </c>
      <c r="B16" s="6" t="s">
        <v>1891</v>
      </c>
      <c r="C16" s="6" t="s">
        <v>1892</v>
      </c>
      <c r="D16" s="6"/>
    </row>
    <row r="17" customFormat="false" ht="30" hidden="false" customHeight="true" outlineLevel="0" collapsed="false">
      <c r="A17" s="6" t="s">
        <v>1083</v>
      </c>
      <c r="B17" s="6" t="s">
        <v>1893</v>
      </c>
      <c r="C17" s="6" t="s">
        <v>1894</v>
      </c>
      <c r="D17" s="6"/>
    </row>
    <row r="18" customFormat="false" ht="30" hidden="false" customHeight="true" outlineLevel="0" collapsed="false">
      <c r="A18" s="6" t="s">
        <v>1895</v>
      </c>
      <c r="B18" s="6" t="s">
        <v>1896</v>
      </c>
      <c r="C18" s="6" t="s">
        <v>1897</v>
      </c>
      <c r="D18" s="6"/>
    </row>
    <row r="19" customFormat="false" ht="30" hidden="false" customHeight="true" outlineLevel="0" collapsed="false">
      <c r="A19" s="6" t="s">
        <v>1898</v>
      </c>
      <c r="B19" s="6" t="s">
        <v>1899</v>
      </c>
      <c r="C19" s="6" t="s">
        <v>1900</v>
      </c>
      <c r="D19" s="6"/>
    </row>
    <row r="21" customFormat="false" ht="19.5" hidden="false" customHeight="true" outlineLevel="0" collapsed="false">
      <c r="A21" s="3" t="s">
        <v>1901</v>
      </c>
      <c r="B21" s="4"/>
      <c r="C21" s="4"/>
      <c r="D21" s="4"/>
    </row>
    <row r="22" customFormat="false" ht="30" hidden="false" customHeight="true" outlineLevel="0" collapsed="false">
      <c r="A22" s="5" t="s">
        <v>1902</v>
      </c>
      <c r="B22" s="5" t="s">
        <v>1903</v>
      </c>
      <c r="C22" s="5" t="s">
        <v>1904</v>
      </c>
      <c r="D22" s="5"/>
    </row>
    <row r="23" customFormat="false" ht="108" hidden="false" customHeight="true" outlineLevel="0" collapsed="false">
      <c r="A23" s="6" t="s">
        <v>1905</v>
      </c>
      <c r="B23" s="6" t="s">
        <v>1906</v>
      </c>
      <c r="C23" s="6" t="s">
        <v>1907</v>
      </c>
      <c r="D23" s="6"/>
    </row>
    <row r="24" customFormat="false" ht="42.75" hidden="false" customHeight="true" outlineLevel="0" collapsed="false">
      <c r="A24" s="6" t="s">
        <v>1908</v>
      </c>
      <c r="B24" s="6" t="s">
        <v>1909</v>
      </c>
      <c r="C24" s="6" t="s">
        <v>1910</v>
      </c>
      <c r="D24" s="6"/>
    </row>
    <row r="25" customFormat="false" ht="30" hidden="false" customHeight="true" outlineLevel="0" collapsed="false">
      <c r="A25" s="6" t="s">
        <v>1911</v>
      </c>
      <c r="B25" s="6" t="s">
        <v>1912</v>
      </c>
      <c r="C25" s="6" t="s">
        <v>78</v>
      </c>
      <c r="D25" s="6"/>
    </row>
    <row r="26" customFormat="false" ht="55.5" hidden="false" customHeight="true" outlineLevel="0" collapsed="false">
      <c r="A26" s="6" t="s">
        <v>1913</v>
      </c>
      <c r="B26" s="6" t="s">
        <v>1914</v>
      </c>
      <c r="C26" s="6" t="s">
        <v>1804</v>
      </c>
      <c r="D26" s="6"/>
    </row>
    <row r="27" customFormat="false" ht="55.5" hidden="false" customHeight="true" outlineLevel="0" collapsed="false">
      <c r="A27" s="6" t="s">
        <v>1915</v>
      </c>
      <c r="B27" s="6" t="s">
        <v>1916</v>
      </c>
      <c r="C27" s="6" t="s">
        <v>1917</v>
      </c>
      <c r="D27" s="6"/>
    </row>
    <row r="29" customFormat="false" ht="19.5" hidden="false" customHeight="true" outlineLevel="0" collapsed="false">
      <c r="A29" s="3" t="s">
        <v>1918</v>
      </c>
      <c r="B29" s="4"/>
      <c r="C29" s="4"/>
      <c r="D29" s="4"/>
    </row>
    <row r="30" customFormat="false" ht="30" hidden="false" customHeight="true" outlineLevel="0" collapsed="false">
      <c r="A30" s="5" t="s">
        <v>1919</v>
      </c>
      <c r="B30" s="5" t="s">
        <v>1920</v>
      </c>
      <c r="C30" s="5"/>
      <c r="D30" s="5"/>
    </row>
    <row r="31" customFormat="false" ht="42.75" hidden="false" customHeight="true" outlineLevel="0" collapsed="false">
      <c r="A31" s="6" t="s">
        <v>1921</v>
      </c>
      <c r="B31" s="6" t="s">
        <v>1922</v>
      </c>
      <c r="C31" s="6"/>
      <c r="D31" s="6"/>
    </row>
    <row r="32" customFormat="false" ht="30" hidden="false" customHeight="true" outlineLevel="0" collapsed="false">
      <c r="A32" s="6" t="s">
        <v>1923</v>
      </c>
      <c r="B32" s="6" t="s">
        <v>1924</v>
      </c>
      <c r="C32" s="6"/>
      <c r="D32" s="6"/>
    </row>
    <row r="33" customFormat="false" ht="30" hidden="false" customHeight="true" outlineLevel="0" collapsed="false">
      <c r="A33" s="6" t="s">
        <v>1925</v>
      </c>
      <c r="B33" s="6" t="s">
        <v>1926</v>
      </c>
      <c r="C33" s="6"/>
      <c r="D33" s="6"/>
    </row>
    <row r="34" customFormat="false" ht="30" hidden="false" customHeight="true" outlineLevel="0" collapsed="false">
      <c r="A34" s="6" t="s">
        <v>1927</v>
      </c>
      <c r="B34" s="6" t="s">
        <v>1928</v>
      </c>
      <c r="C34" s="6"/>
      <c r="D34" s="6"/>
    </row>
    <row r="35" customFormat="false" ht="16.5" hidden="false" customHeight="true" outlineLevel="0" collapsed="false">
      <c r="A35" s="6" t="s">
        <v>1929</v>
      </c>
      <c r="B35" s="6" t="s">
        <v>1930</v>
      </c>
      <c r="C35" s="6"/>
      <c r="D35" s="6"/>
    </row>
    <row r="37" customFormat="false" ht="19.5" hidden="false" customHeight="true" outlineLevel="0" collapsed="false">
      <c r="A37" s="3" t="s">
        <v>1931</v>
      </c>
      <c r="B37" s="4"/>
      <c r="C37" s="4"/>
      <c r="D37" s="4"/>
    </row>
    <row r="38" customFormat="false" ht="30" hidden="false" customHeight="true" outlineLevel="0" collapsed="false">
      <c r="A38" s="5" t="s">
        <v>1932</v>
      </c>
      <c r="B38" s="5" t="s">
        <v>1424</v>
      </c>
      <c r="C38" s="5" t="s">
        <v>156</v>
      </c>
      <c r="D38" s="5"/>
    </row>
    <row r="39" customFormat="false" ht="30" hidden="false" customHeight="true" outlineLevel="0" collapsed="false">
      <c r="A39" s="6" t="s">
        <v>1933</v>
      </c>
      <c r="B39" s="6" t="s">
        <v>1934</v>
      </c>
      <c r="C39" s="6" t="s">
        <v>1935</v>
      </c>
      <c r="D39" s="6"/>
    </row>
    <row r="40" customFormat="false" ht="42.75" hidden="false" customHeight="true" outlineLevel="0" collapsed="false">
      <c r="A40" s="6" t="s">
        <v>1936</v>
      </c>
      <c r="B40" s="6" t="s">
        <v>1937</v>
      </c>
      <c r="C40" s="6" t="s">
        <v>1938</v>
      </c>
      <c r="D40" s="6"/>
    </row>
    <row r="41" customFormat="false" ht="30" hidden="false" customHeight="true" outlineLevel="0" collapsed="false">
      <c r="A41" s="6" t="s">
        <v>1939</v>
      </c>
      <c r="B41" s="6" t="s">
        <v>1940</v>
      </c>
      <c r="C41" s="6" t="s">
        <v>1941</v>
      </c>
      <c r="D41" s="6"/>
    </row>
    <row r="42" customFormat="false" ht="42.75" hidden="false" customHeight="true" outlineLevel="0" collapsed="false">
      <c r="A42" s="6" t="s">
        <v>1942</v>
      </c>
      <c r="B42" s="6" t="s">
        <v>1943</v>
      </c>
      <c r="C42" s="6" t="s">
        <v>1944</v>
      </c>
      <c r="D42" s="6"/>
    </row>
    <row r="43" customFormat="false" ht="30" hidden="false" customHeight="true" outlineLevel="0" collapsed="false">
      <c r="A43" s="6" t="s">
        <v>1945</v>
      </c>
      <c r="B43" s="6" t="s">
        <v>1946</v>
      </c>
      <c r="C43" s="6" t="s">
        <v>1947</v>
      </c>
      <c r="D43" s="6"/>
    </row>
    <row r="44" customFormat="false" ht="30" hidden="false" customHeight="true" outlineLevel="0" collapsed="false">
      <c r="A44" s="6" t="s">
        <v>1948</v>
      </c>
      <c r="B44" s="6" t="s">
        <v>1949</v>
      </c>
      <c r="C44" s="6" t="s">
        <v>1950</v>
      </c>
      <c r="D44" s="6"/>
    </row>
    <row r="45" customFormat="false" ht="30" hidden="false" customHeight="true" outlineLevel="0" collapsed="false">
      <c r="A45" s="6" t="s">
        <v>1951</v>
      </c>
      <c r="B45" s="6" t="s">
        <v>1952</v>
      </c>
      <c r="C45" s="6" t="s">
        <v>1953</v>
      </c>
      <c r="D45" s="6"/>
    </row>
    <row r="47" customFormat="false" ht="19.5" hidden="false" customHeight="true" outlineLevel="0" collapsed="false">
      <c r="A47" s="3" t="s">
        <v>1954</v>
      </c>
      <c r="B47" s="4"/>
      <c r="C47" s="4"/>
      <c r="D47" s="4"/>
    </row>
    <row r="48" customFormat="false" ht="30" hidden="false" customHeight="true" outlineLevel="0" collapsed="false">
      <c r="A48" s="5" t="s">
        <v>3</v>
      </c>
      <c r="B48" s="5" t="s">
        <v>1955</v>
      </c>
      <c r="C48" s="5"/>
      <c r="D48" s="5"/>
    </row>
    <row r="49" customFormat="false" ht="30" hidden="false" customHeight="true" outlineLevel="0" collapsed="false">
      <c r="A49" s="6" t="s">
        <v>1956</v>
      </c>
      <c r="B49" s="6" t="s">
        <v>1957</v>
      </c>
      <c r="C49" s="6"/>
      <c r="D49" s="6"/>
    </row>
    <row r="50" customFormat="false" ht="16.5" hidden="false" customHeight="true" outlineLevel="0" collapsed="false">
      <c r="A50" s="6" t="s">
        <v>1958</v>
      </c>
      <c r="B50" s="6" t="s">
        <v>1959</v>
      </c>
      <c r="C50" s="6"/>
      <c r="D50" s="6"/>
    </row>
    <row r="51" customFormat="false" ht="30" hidden="false" customHeight="true" outlineLevel="0" collapsed="false">
      <c r="A51" s="6" t="s">
        <v>1960</v>
      </c>
      <c r="B51" s="6" t="s">
        <v>1961</v>
      </c>
      <c r="C51" s="6"/>
      <c r="D51" s="6"/>
    </row>
    <row r="52" customFormat="false" ht="30" hidden="false" customHeight="true" outlineLevel="0" collapsed="false">
      <c r="A52" s="6" t="s">
        <v>1962</v>
      </c>
      <c r="B52" s="6" t="s">
        <v>1963</v>
      </c>
      <c r="C52" s="6"/>
      <c r="D52" s="6"/>
    </row>
    <row r="53" customFormat="false" ht="16.5" hidden="false" customHeight="true" outlineLevel="0" collapsed="false">
      <c r="A53" s="6" t="s">
        <v>1964</v>
      </c>
      <c r="B53" s="6" t="s">
        <v>1965</v>
      </c>
      <c r="C53" s="6"/>
      <c r="D53" s="6"/>
    </row>
    <row r="54" customFormat="false" ht="30" hidden="false" customHeight="true" outlineLevel="0" collapsed="false">
      <c r="A54" s="6" t="s">
        <v>1966</v>
      </c>
      <c r="B54" s="6" t="s">
        <v>1967</v>
      </c>
      <c r="C54" s="6"/>
      <c r="D54" s="6"/>
    </row>
    <row r="55" customFormat="false" ht="16.5" hidden="false" customHeight="true" outlineLevel="0" collapsed="false">
      <c r="A55" s="6" t="s">
        <v>1968</v>
      </c>
      <c r="B55" s="6" t="s">
        <v>1969</v>
      </c>
      <c r="C55" s="6"/>
      <c r="D55" s="6"/>
    </row>
  </sheetData>
  <mergeCells count="37">
    <mergeCell ref="A2:D2"/>
    <mergeCell ref="C12:D12"/>
    <mergeCell ref="C13:D13"/>
    <mergeCell ref="C14:D14"/>
    <mergeCell ref="C15:D15"/>
    <mergeCell ref="C16:D16"/>
    <mergeCell ref="C17:D17"/>
    <mergeCell ref="C18:D18"/>
    <mergeCell ref="C19:D19"/>
    <mergeCell ref="C22:D22"/>
    <mergeCell ref="C23:D23"/>
    <mergeCell ref="C24:D24"/>
    <mergeCell ref="C25:D25"/>
    <mergeCell ref="C26:D26"/>
    <mergeCell ref="C27:D27"/>
    <mergeCell ref="B30:D30"/>
    <mergeCell ref="B31:D31"/>
    <mergeCell ref="B32:D32"/>
    <mergeCell ref="B33:D33"/>
    <mergeCell ref="B34:D34"/>
    <mergeCell ref="B35:D35"/>
    <mergeCell ref="C38:D38"/>
    <mergeCell ref="C39:D39"/>
    <mergeCell ref="C40:D40"/>
    <mergeCell ref="C41:D41"/>
    <mergeCell ref="C42:D42"/>
    <mergeCell ref="C43:D43"/>
    <mergeCell ref="C44:D44"/>
    <mergeCell ref="C45:D45"/>
    <mergeCell ref="B48:D48"/>
    <mergeCell ref="B49:D49"/>
    <mergeCell ref="B50:D50"/>
    <mergeCell ref="B51:D51"/>
    <mergeCell ref="B52:D52"/>
    <mergeCell ref="B53:D53"/>
    <mergeCell ref="B54:D54"/>
    <mergeCell ref="B55:D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B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24" hidden="false" customHeight="true" outlineLevel="0" collapsed="false">
      <c r="A1" s="1" t="s">
        <v>1970</v>
      </c>
    </row>
    <row r="2" customFormat="false" ht="30" hidden="false" customHeight="true" outlineLevel="0" collapsed="false">
      <c r="A2" s="2" t="s">
        <v>1971</v>
      </c>
      <c r="B2" s="2"/>
    </row>
    <row r="4" customFormat="false" ht="30" hidden="false" customHeight="true" outlineLevel="0" collapsed="false">
      <c r="A4" s="5" t="s">
        <v>1682</v>
      </c>
      <c r="B4" s="5" t="s">
        <v>1972</v>
      </c>
    </row>
    <row r="5" customFormat="false" ht="27.75" hidden="false" customHeight="true" outlineLevel="0" collapsed="false">
      <c r="A5" s="6" t="s">
        <v>1973</v>
      </c>
      <c r="B5" s="6" t="s">
        <v>1974</v>
      </c>
    </row>
    <row r="6" customFormat="false" ht="15" hidden="false" customHeight="true" outlineLevel="0" collapsed="false">
      <c r="A6" s="6" t="s">
        <v>1975</v>
      </c>
      <c r="B6" s="6" t="s">
        <v>1976</v>
      </c>
    </row>
    <row r="7" customFormat="false" ht="40.5" hidden="false" customHeight="true" outlineLevel="0" collapsed="false">
      <c r="A7" s="6" t="s">
        <v>1977</v>
      </c>
      <c r="B7" s="6" t="s">
        <v>1978</v>
      </c>
    </row>
    <row r="8" customFormat="false" ht="27.75" hidden="false" customHeight="true" outlineLevel="0" collapsed="false">
      <c r="A8" s="6" t="s">
        <v>1979</v>
      </c>
      <c r="B8" s="6" t="s">
        <v>1980</v>
      </c>
    </row>
    <row r="9" customFormat="false" ht="27.75" hidden="false" customHeight="true" outlineLevel="0" collapsed="false">
      <c r="A9" s="6" t="s">
        <v>1981</v>
      </c>
      <c r="B9" s="6" t="s">
        <v>1982</v>
      </c>
    </row>
    <row r="10" customFormat="false" ht="27.75" hidden="false" customHeight="true" outlineLevel="0" collapsed="false">
      <c r="A10" s="6" t="s">
        <v>1983</v>
      </c>
      <c r="B10" s="6" t="s">
        <v>1984</v>
      </c>
    </row>
    <row r="11" customFormat="false" ht="40.5" hidden="false" customHeight="true" outlineLevel="0" collapsed="false">
      <c r="A11" s="6" t="s">
        <v>1985</v>
      </c>
      <c r="B11" s="6" t="s">
        <v>1986</v>
      </c>
    </row>
    <row r="12" customFormat="false" ht="27.75" hidden="false" customHeight="true" outlineLevel="0" collapsed="false">
      <c r="A12" s="6" t="s">
        <v>1987</v>
      </c>
      <c r="B12" s="6" t="s">
        <v>1988</v>
      </c>
    </row>
    <row r="13" customFormat="false" ht="27.75" hidden="false" customHeight="true" outlineLevel="0" collapsed="false">
      <c r="A13" s="6" t="s">
        <v>1989</v>
      </c>
      <c r="B13" s="6" t="s">
        <v>1990</v>
      </c>
    </row>
    <row r="14" customFormat="false" ht="27.75" hidden="false" customHeight="true" outlineLevel="0" collapsed="false">
      <c r="A14" s="6" t="s">
        <v>1991</v>
      </c>
      <c r="B14" s="6" t="s">
        <v>1992</v>
      </c>
    </row>
    <row r="15" customFormat="false" ht="27.75" hidden="false" customHeight="true" outlineLevel="0" collapsed="false">
      <c r="A15" s="6" t="s">
        <v>1993</v>
      </c>
      <c r="B15" s="6" t="s">
        <v>1994</v>
      </c>
    </row>
    <row r="16" customFormat="false" ht="27.75" hidden="false" customHeight="true" outlineLevel="0" collapsed="false">
      <c r="A16" s="6" t="s">
        <v>1995</v>
      </c>
      <c r="B16" s="6" t="s">
        <v>1996</v>
      </c>
    </row>
    <row r="17" customFormat="false" ht="27.75" hidden="false" customHeight="true" outlineLevel="0" collapsed="false">
      <c r="A17" s="6" t="s">
        <v>1997</v>
      </c>
      <c r="B17" s="6" t="s">
        <v>1998</v>
      </c>
    </row>
    <row r="18" customFormat="false" ht="27.75" hidden="false" customHeight="true" outlineLevel="0" collapsed="false">
      <c r="A18" s="6" t="s">
        <v>1999</v>
      </c>
      <c r="B18" s="6" t="s">
        <v>2000</v>
      </c>
    </row>
    <row r="19" customFormat="false" ht="27.75" hidden="false" customHeight="true" outlineLevel="0" collapsed="false">
      <c r="A19" s="6" t="s">
        <v>2001</v>
      </c>
      <c r="B19" s="6" t="s">
        <v>2002</v>
      </c>
    </row>
    <row r="20" customFormat="false" ht="27.75" hidden="false" customHeight="true" outlineLevel="0" collapsed="false">
      <c r="A20" s="6" t="s">
        <v>2003</v>
      </c>
      <c r="B20" s="6" t="s">
        <v>2004</v>
      </c>
    </row>
    <row r="21" customFormat="false" ht="27.75" hidden="false" customHeight="true" outlineLevel="0" collapsed="false">
      <c r="A21" s="6" t="s">
        <v>2005</v>
      </c>
      <c r="B21" s="6" t="s">
        <v>2006</v>
      </c>
    </row>
    <row r="22" customFormat="false" ht="27.75" hidden="false" customHeight="true" outlineLevel="0" collapsed="false">
      <c r="A22" s="6" t="s">
        <v>2007</v>
      </c>
      <c r="B22" s="6" t="s">
        <v>2008</v>
      </c>
    </row>
    <row r="23" customFormat="false" ht="27.75" hidden="false" customHeight="true" outlineLevel="0" collapsed="false">
      <c r="A23" s="6" t="s">
        <v>2009</v>
      </c>
      <c r="B23" s="6" t="s">
        <v>2010</v>
      </c>
    </row>
    <row r="24" customFormat="false" ht="27.75" hidden="false" customHeight="true" outlineLevel="0" collapsed="false">
      <c r="A24" s="6" t="s">
        <v>2011</v>
      </c>
      <c r="B24" s="6" t="s">
        <v>2012</v>
      </c>
    </row>
    <row r="25" customFormat="false" ht="27.75" hidden="false" customHeight="true" outlineLevel="0" collapsed="false">
      <c r="A25" s="6" t="s">
        <v>2013</v>
      </c>
      <c r="B25" s="6" t="s">
        <v>2014</v>
      </c>
    </row>
    <row r="26" customFormat="false" ht="40.5" hidden="false" customHeight="true" outlineLevel="0" collapsed="false">
      <c r="A26" s="6" t="s">
        <v>2015</v>
      </c>
      <c r="B26" s="6" t="s">
        <v>2016</v>
      </c>
    </row>
    <row r="27" customFormat="false" ht="27.75" hidden="false" customHeight="true" outlineLevel="0" collapsed="false">
      <c r="A27" s="6" t="s">
        <v>2017</v>
      </c>
      <c r="B27" s="6" t="s">
        <v>2018</v>
      </c>
    </row>
    <row r="28" customFormat="false" ht="54" hidden="false" customHeight="true" outlineLevel="0" collapsed="false">
      <c r="A28" s="6" t="s">
        <v>2019</v>
      </c>
      <c r="B28" s="6" t="s">
        <v>2020</v>
      </c>
    </row>
    <row r="29" customFormat="false" ht="66.75" hidden="false" customHeight="true" outlineLevel="0" collapsed="false">
      <c r="A29" s="6" t="s">
        <v>2021</v>
      </c>
      <c r="B29" s="6" t="s">
        <v>2022</v>
      </c>
    </row>
    <row r="30" customFormat="false" ht="40.5" hidden="false" customHeight="true" outlineLevel="0" collapsed="false">
      <c r="A30" s="6" t="s">
        <v>2023</v>
      </c>
      <c r="B30" s="6" t="s">
        <v>2024</v>
      </c>
    </row>
    <row r="31" customFormat="false" ht="27.75" hidden="false" customHeight="true" outlineLevel="0" collapsed="false">
      <c r="A31" s="6" t="s">
        <v>2025</v>
      </c>
      <c r="B31" s="6" t="s">
        <v>2026</v>
      </c>
    </row>
    <row r="32" customFormat="false" ht="40.5" hidden="false" customHeight="true" outlineLevel="0" collapsed="false">
      <c r="A32" s="6" t="s">
        <v>2027</v>
      </c>
      <c r="B32" s="6" t="s">
        <v>2028</v>
      </c>
    </row>
    <row r="33" customFormat="false" ht="27.75" hidden="false" customHeight="true" outlineLevel="0" collapsed="false">
      <c r="A33" s="6" t="s">
        <v>2029</v>
      </c>
      <c r="B33" s="6" t="s">
        <v>2030</v>
      </c>
    </row>
    <row r="34" customFormat="false" ht="66.75" hidden="false" customHeight="true" outlineLevel="0" collapsed="false">
      <c r="A34" s="6" t="s">
        <v>2031</v>
      </c>
      <c r="B34" s="6" t="s">
        <v>2032</v>
      </c>
    </row>
    <row r="35" customFormat="false" ht="54" hidden="false" customHeight="true" outlineLevel="0" collapsed="false">
      <c r="A35" s="6" t="s">
        <v>2033</v>
      </c>
      <c r="B35" s="6" t="s">
        <v>2034</v>
      </c>
    </row>
    <row r="36" customFormat="false" ht="40.5" hidden="false" customHeight="true" outlineLevel="0" collapsed="false">
      <c r="A36" s="6" t="s">
        <v>2035</v>
      </c>
      <c r="B36" s="6" t="s">
        <v>2036</v>
      </c>
    </row>
    <row r="37" customFormat="false" ht="27.75" hidden="false" customHeight="true" outlineLevel="0" collapsed="false">
      <c r="A37" s="6" t="s">
        <v>2037</v>
      </c>
      <c r="B37" s="6" t="s">
        <v>2038</v>
      </c>
    </row>
    <row r="38" customFormat="false" ht="27.75" hidden="false" customHeight="true" outlineLevel="0" collapsed="false">
      <c r="A38" s="6" t="s">
        <v>2039</v>
      </c>
      <c r="B38" s="6" t="s">
        <v>2040</v>
      </c>
    </row>
    <row r="39" customFormat="false" ht="27.75" hidden="false" customHeight="true" outlineLevel="0" collapsed="false">
      <c r="A39" s="6" t="s">
        <v>2041</v>
      </c>
      <c r="B39" s="6" t="s">
        <v>2042</v>
      </c>
    </row>
    <row r="40" customFormat="false" ht="27.75" hidden="false" customHeight="true" outlineLevel="0" collapsed="false">
      <c r="A40" s="6" t="s">
        <v>2043</v>
      </c>
      <c r="B40" s="6" t="s">
        <v>2044</v>
      </c>
    </row>
    <row r="41" customFormat="false" ht="27.75" hidden="false" customHeight="true" outlineLevel="0" collapsed="false">
      <c r="A41" s="6" t="s">
        <v>2045</v>
      </c>
      <c r="B41" s="6" t="s">
        <v>2046</v>
      </c>
    </row>
    <row r="42" customFormat="false" ht="27.75" hidden="false" customHeight="true" outlineLevel="0" collapsed="false">
      <c r="A42" s="6" t="s">
        <v>2047</v>
      </c>
      <c r="B42" s="6" t="s">
        <v>2048</v>
      </c>
    </row>
    <row r="43" customFormat="false" ht="27.75" hidden="false" customHeight="true" outlineLevel="0" collapsed="false">
      <c r="A43" s="6" t="s">
        <v>2049</v>
      </c>
      <c r="B43" s="6" t="s">
        <v>2050</v>
      </c>
    </row>
    <row r="44" customFormat="false" ht="40.5" hidden="false" customHeight="true" outlineLevel="0" collapsed="false">
      <c r="A44" s="6" t="s">
        <v>2051</v>
      </c>
      <c r="B44" s="6" t="s">
        <v>2052</v>
      </c>
    </row>
    <row r="45" customFormat="false" ht="27.75" hidden="false" customHeight="true" outlineLevel="0" collapsed="false">
      <c r="A45" s="6" t="s">
        <v>2053</v>
      </c>
      <c r="B45" s="6" t="s">
        <v>2054</v>
      </c>
    </row>
    <row r="46" customFormat="false" ht="27.75" hidden="false" customHeight="true" outlineLevel="0" collapsed="false">
      <c r="A46" s="6" t="s">
        <v>2055</v>
      </c>
      <c r="B46" s="6" t="s">
        <v>2056</v>
      </c>
    </row>
    <row r="47" customFormat="false" ht="40.5" hidden="false" customHeight="true" outlineLevel="0" collapsed="false">
      <c r="A47" s="6" t="s">
        <v>2057</v>
      </c>
      <c r="B47" s="6" t="s">
        <v>2058</v>
      </c>
    </row>
    <row r="48" customFormat="false" ht="27.75" hidden="false" customHeight="true" outlineLevel="0" collapsed="false">
      <c r="A48" s="6" t="s">
        <v>2059</v>
      </c>
      <c r="B48" s="6" t="s">
        <v>2060</v>
      </c>
    </row>
    <row r="49" customFormat="false" ht="40.5" hidden="false" customHeight="true" outlineLevel="0" collapsed="false">
      <c r="A49" s="6" t="s">
        <v>2061</v>
      </c>
      <c r="B49" s="6" t="s">
        <v>2062</v>
      </c>
    </row>
    <row r="50" customFormat="false" ht="40.5" hidden="false" customHeight="true" outlineLevel="0" collapsed="false">
      <c r="A50" s="6" t="s">
        <v>2063</v>
      </c>
      <c r="B50" s="6" t="s">
        <v>2064</v>
      </c>
    </row>
    <row r="51" customFormat="false" ht="27.75" hidden="false" customHeight="true" outlineLevel="0" collapsed="false">
      <c r="A51" s="6" t="s">
        <v>2065</v>
      </c>
      <c r="B51" s="6" t="s">
        <v>2066</v>
      </c>
    </row>
    <row r="52" customFormat="false" ht="27.75" hidden="false" customHeight="true" outlineLevel="0" collapsed="false">
      <c r="A52" s="6" t="s">
        <v>2067</v>
      </c>
      <c r="B52" s="6" t="s">
        <v>2068</v>
      </c>
    </row>
    <row r="53" customFormat="false" ht="40.5" hidden="false" customHeight="true" outlineLevel="0" collapsed="false">
      <c r="A53" s="6" t="s">
        <v>2069</v>
      </c>
      <c r="B53" s="6" t="s">
        <v>2070</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2026-09-23T01:56:25Z</dcterms:created>
  <dc:creator>openpyxl</dc:creator>
  <dc:description/>
  <dc:language>en-US</dc:language>
  <cp:lastModifiedBy/>
  <dcterms:modified xsi:type="dcterms:W3CDTF">2026-09-23T01:56:26Z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